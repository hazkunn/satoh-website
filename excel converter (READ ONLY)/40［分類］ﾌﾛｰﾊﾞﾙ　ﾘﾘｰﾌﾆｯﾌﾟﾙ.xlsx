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1\share\026 商品コード\商品ｺｰﾄﾞ化　分類Excel\③商品ｺｰﾄﾞ化　可能\"/>
    </mc:Choice>
  </mc:AlternateContent>
  <xr:revisionPtr revIDLastSave="0" documentId="13_ncr:1_{8DBC4C00-12FC-448A-9FB8-49C56F5B62F0}" xr6:coauthVersionLast="47" xr6:coauthVersionMax="47" xr10:uidLastSave="{00000000-0000-0000-0000-000000000000}"/>
  <bookViews>
    <workbookView xWindow="-120" yWindow="-120" windowWidth="19440" windowHeight="14880" xr2:uid="{92C5334C-0C22-42F1-92CB-ED147944634C}"/>
  </bookViews>
  <sheets>
    <sheet name="分類" sheetId="10" r:id="rId1"/>
    <sheet name="特値先" sheetId="20" r:id="rId2"/>
    <sheet name="提出用書式" sheetId="12" r:id="rId3"/>
    <sheet name="大分類" sheetId="11" r:id="rId4"/>
    <sheet name="中分類" sheetId="14" r:id="rId5"/>
    <sheet name="小分類" sheetId="15" r:id="rId6"/>
    <sheet name="在庫取寄区分" sheetId="16" r:id="rId7"/>
    <sheet name="ﾒｰｶｰCD" sheetId="17" r:id="rId8"/>
    <sheet name="単位CD" sheetId="18" r:id="rId9"/>
    <sheet name="仕入先CD" sheetId="13" r:id="rId10"/>
    <sheet name="お客様CD" sheetId="19" r:id="rId11"/>
  </sheets>
  <definedNames>
    <definedName name="_xlnm._FilterDatabase" localSheetId="5" hidden="1">小分類!$A$1:$B$488</definedName>
    <definedName name="_xlnm._FilterDatabase" localSheetId="3" hidden="1">大分類!$A$1:$B$151</definedName>
    <definedName name="_xlnm._FilterDatabase" localSheetId="4" hidden="1">中分類!$A$1:$B$134</definedName>
    <definedName name="_xlnm._FilterDatabase" localSheetId="0" hidden="1">分類!$A$4:$BZ$7</definedName>
    <definedName name="ExternalData_1" localSheetId="2" hidden="1">提出用書式!$A$1:$FA$3</definedName>
    <definedName name="_xlnm.Print_Area" localSheetId="0">分類!$B$1:$BL$7</definedName>
    <definedName name="_xlnm.Print_Titles" localSheetId="0">分類!$2:$4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7" i="12" l="1"/>
  <c r="FB6" i="12"/>
  <c r="FB5" i="12"/>
  <c r="EX7" i="12"/>
  <c r="EX6" i="12"/>
  <c r="EX5" i="12"/>
  <c r="EW7" i="12"/>
  <c r="EW6" i="12"/>
  <c r="EW5" i="12"/>
  <c r="ET7" i="12"/>
  <c r="ET6" i="12"/>
  <c r="ET5" i="12"/>
  <c r="ER7" i="12"/>
  <c r="ER6" i="12"/>
  <c r="ER5" i="12"/>
  <c r="BN7" i="12"/>
  <c r="BD7" i="12"/>
  <c r="BD5" i="12"/>
  <c r="AY7" i="12"/>
  <c r="AY5" i="12"/>
  <c r="AT7" i="12"/>
  <c r="AT5" i="12"/>
  <c r="AO7" i="12"/>
  <c r="AO6" i="12"/>
  <c r="Z7" i="12"/>
  <c r="Z6" i="12"/>
  <c r="Z5" i="12"/>
  <c r="U6" i="12"/>
  <c r="U7" i="12"/>
  <c r="S6" i="12"/>
  <c r="S7" i="12"/>
  <c r="Q6" i="12"/>
  <c r="Q7" i="12"/>
  <c r="U5" i="12"/>
  <c r="S5" i="12"/>
  <c r="Q5" i="12"/>
  <c r="M7" i="12"/>
  <c r="M6" i="12"/>
  <c r="M5" i="12"/>
  <c r="J6" i="12"/>
  <c r="J7" i="12"/>
  <c r="J5" i="12"/>
  <c r="BQ7" i="10"/>
  <c r="BO7" i="10"/>
  <c r="BL7" i="10"/>
  <c r="BJ7" i="10"/>
  <c r="BI7" i="10"/>
  <c r="BG7" i="10"/>
  <c r="BF7" i="10"/>
  <c r="BI7" i="12" s="1"/>
  <c r="BC7" i="10"/>
  <c r="BA7" i="10"/>
  <c r="AZ7" i="10"/>
  <c r="AX7" i="10"/>
  <c r="AW7" i="10"/>
  <c r="AU7" i="10"/>
  <c r="AS7" i="10"/>
  <c r="AJ7" i="12" s="1"/>
  <c r="AM7" i="10"/>
  <c r="AP7" i="10" s="1"/>
  <c r="AL7" i="10"/>
  <c r="AG7" i="10"/>
  <c r="V7" i="10"/>
  <c r="R7" i="10"/>
  <c r="Q7" i="10"/>
  <c r="I7" i="10"/>
  <c r="G7" i="10"/>
  <c r="E7" i="10"/>
  <c r="C7" i="10"/>
  <c r="BQ6" i="10"/>
  <c r="BO6" i="10"/>
  <c r="BL6" i="10"/>
  <c r="BJ6" i="10"/>
  <c r="BI6" i="10"/>
  <c r="BN6" i="12" s="1"/>
  <c r="BG6" i="10"/>
  <c r="BF6" i="10"/>
  <c r="BI6" i="12" s="1"/>
  <c r="BC6" i="10"/>
  <c r="BD6" i="12" s="1"/>
  <c r="BA6" i="10"/>
  <c r="AZ6" i="10"/>
  <c r="AY6" i="12" s="1"/>
  <c r="AX6" i="10"/>
  <c r="AW6" i="10"/>
  <c r="AT6" i="12" s="1"/>
  <c r="AU6" i="10"/>
  <c r="AS6" i="10"/>
  <c r="AJ6" i="12" s="1"/>
  <c r="AM6" i="10"/>
  <c r="AP6" i="10" s="1"/>
  <c r="AL6" i="10"/>
  <c r="AG6" i="10"/>
  <c r="V6" i="10"/>
  <c r="R6" i="10"/>
  <c r="Q6" i="10"/>
  <c r="I6" i="10"/>
  <c r="G6" i="10"/>
  <c r="E6" i="10"/>
  <c r="C6" i="10"/>
  <c r="BQ5" i="10"/>
  <c r="BO5" i="10"/>
  <c r="BL5" i="10"/>
  <c r="BJ5" i="10"/>
  <c r="BI5" i="10"/>
  <c r="BN5" i="12" s="1"/>
  <c r="BG5" i="10"/>
  <c r="BF5" i="10"/>
  <c r="BI5" i="12" s="1"/>
  <c r="BC5" i="10"/>
  <c r="BA5" i="10"/>
  <c r="AZ5" i="10"/>
  <c r="AX5" i="10"/>
  <c r="AW5" i="10"/>
  <c r="AU5" i="10"/>
  <c r="AO5" i="12" s="1"/>
  <c r="AS5" i="10"/>
  <c r="AJ5" i="12" s="1"/>
  <c r="AM5" i="10"/>
  <c r="AP5" i="10" s="1"/>
  <c r="AL5" i="10"/>
  <c r="AG5" i="10"/>
  <c r="V5" i="10"/>
  <c r="R5" i="10"/>
  <c r="Q5" i="10"/>
  <c r="I5" i="10"/>
  <c r="G5" i="10"/>
  <c r="E5" i="10"/>
  <c r="C5" i="10"/>
  <c r="C6" i="12"/>
  <c r="D6" i="12" s="1"/>
  <c r="C7" i="12"/>
  <c r="D7" i="12" s="1"/>
  <c r="C5" i="12"/>
  <c r="AE5" i="12" l="1"/>
  <c r="AE6" i="12"/>
  <c r="AE7" i="12"/>
  <c r="ES6" i="12"/>
  <c r="ES7" i="12"/>
  <c r="ES5" i="12"/>
  <c r="C3" i="20" l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2" i="20"/>
  <c r="F5" i="12" l="1"/>
  <c r="F6" i="12"/>
  <c r="F7" i="12"/>
  <c r="K6" i="12" l="1"/>
  <c r="N6" i="12"/>
  <c r="R6" i="12"/>
  <c r="T6" i="12"/>
  <c r="V6" i="12"/>
  <c r="K7" i="12"/>
  <c r="N7" i="12"/>
  <c r="R7" i="12"/>
  <c r="T7" i="12"/>
  <c r="V7" i="12"/>
  <c r="G5" i="12" l="1"/>
  <c r="G6" i="12"/>
  <c r="G7" i="12"/>
  <c r="E5" i="12"/>
  <c r="E6" i="12"/>
  <c r="E7" i="12"/>
  <c r="T5" i="12" l="1"/>
  <c r="V5" i="12"/>
  <c r="R5" i="12"/>
  <c r="N5" i="12"/>
  <c r="K5" i="12"/>
  <c r="D5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C3D1-B9EE-4CC9-82ED-3210D36B3315}" keepAlive="1" name="クエリ - 商品マスタ" description="ブック内の '商品マスタ' クエリへの接続です。" type="5" refreshedVersion="8" background="1" saveData="1">
    <dbPr connection="Provider=Microsoft.Mashup.OleDb.1;Data Source=$Workbook$;Location=商品マスタ;Extended Properties=&quot;&quot;" command="SELECT * FROM [商品マスタ]"/>
  </connection>
</connections>
</file>

<file path=xl/sharedStrings.xml><?xml version="1.0" encoding="utf-8"?>
<sst xmlns="http://schemas.openxmlformats.org/spreadsheetml/2006/main" count="3867" uniqueCount="3176">
  <si>
    <t>T</t>
    <phoneticPr fontId="1"/>
  </si>
  <si>
    <t>中分類</t>
    <rPh sb="0" eb="1">
      <t>ナカ</t>
    </rPh>
    <rPh sb="1" eb="3">
      <t>ブンルイ</t>
    </rPh>
    <phoneticPr fontId="1"/>
  </si>
  <si>
    <t>N</t>
    <phoneticPr fontId="1"/>
  </si>
  <si>
    <t>定価</t>
    <rPh sb="0" eb="2">
      <t>テイカ</t>
    </rPh>
    <phoneticPr fontId="1"/>
  </si>
  <si>
    <t>特定</t>
    <rPh sb="0" eb="2">
      <t>トクテイ</t>
    </rPh>
    <phoneticPr fontId="1"/>
  </si>
  <si>
    <t>価格表</t>
    <rPh sb="0" eb="3">
      <t>カカクヒョウ</t>
    </rPh>
    <phoneticPr fontId="1"/>
  </si>
  <si>
    <t>価格ﾍﾞｰｽ仕入先</t>
    <rPh sb="0" eb="2">
      <t>カカク</t>
    </rPh>
    <rPh sb="6" eb="9">
      <t>シイレサキ</t>
    </rPh>
    <phoneticPr fontId="1"/>
  </si>
  <si>
    <t>ｺｰﾄﾞ</t>
    <phoneticPr fontId="1"/>
  </si>
  <si>
    <t>大分類</t>
    <rPh sb="0" eb="3">
      <t>ダイブンルイ</t>
    </rPh>
    <phoneticPr fontId="1"/>
  </si>
  <si>
    <t>分類名</t>
    <rPh sb="0" eb="2">
      <t>ブンルイ</t>
    </rPh>
    <rPh sb="2" eb="3">
      <t>ナ</t>
    </rPh>
    <phoneticPr fontId="1"/>
  </si>
  <si>
    <t>①</t>
    <phoneticPr fontId="1"/>
  </si>
  <si>
    <t>②</t>
    <phoneticPr fontId="1"/>
  </si>
  <si>
    <t>小分類</t>
    <rPh sb="0" eb="1">
      <t>ショウ</t>
    </rPh>
    <rPh sb="1" eb="3">
      <t>ブンルイ</t>
    </rPh>
    <phoneticPr fontId="1"/>
  </si>
  <si>
    <t>仕入先名</t>
    <rPh sb="0" eb="3">
      <t>シイレサキ</t>
    </rPh>
    <rPh sb="3" eb="4">
      <t>ナ</t>
    </rPh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</si>
  <si>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</si>
  <si>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</si>
  <si>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</si>
  <si>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</si>
  <si>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</si>
  <si>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</si>
  <si>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見出</t>
    <rPh sb="0" eb="2">
      <t>ミダ</t>
    </rPh>
    <phoneticPr fontId="1"/>
  </si>
  <si>
    <t>Ｆ</t>
    <phoneticPr fontId="1"/>
  </si>
  <si>
    <t>商品名：機工ﾏｽﾀｰ表示</t>
    <rPh sb="0" eb="2">
      <t>ショウヒン</t>
    </rPh>
    <rPh sb="2" eb="3">
      <t>メイ</t>
    </rPh>
    <rPh sb="4" eb="6">
      <t>キコウ</t>
    </rPh>
    <rPh sb="10" eb="12">
      <t>ヒョウジ</t>
    </rPh>
    <phoneticPr fontId="1"/>
  </si>
  <si>
    <t>半角40</t>
    <rPh sb="0" eb="2">
      <t>ハンカク</t>
    </rPh>
    <phoneticPr fontId="1"/>
  </si>
  <si>
    <t>商品名④</t>
    <rPh sb="0" eb="2">
      <t>ショウヒン</t>
    </rPh>
    <rPh sb="2" eb="3">
      <t>ナ</t>
    </rPh>
    <phoneticPr fontId="1"/>
  </si>
  <si>
    <t>商品名⑤</t>
    <rPh sb="0" eb="3">
      <t>ショウヒンナ</t>
    </rPh>
    <phoneticPr fontId="1"/>
  </si>
  <si>
    <t>商品名⑥</t>
    <rPh sb="0" eb="3">
      <t>ショウヒンナ</t>
    </rPh>
    <phoneticPr fontId="1"/>
  </si>
  <si>
    <t>商品名⑦</t>
    <rPh sb="0" eb="3">
      <t>ショウヒンナ</t>
    </rPh>
    <phoneticPr fontId="1"/>
  </si>
  <si>
    <t>商品名⑧</t>
    <rPh sb="0" eb="3">
      <t>ショウヒンナ</t>
    </rPh>
    <phoneticPr fontId="1"/>
  </si>
  <si>
    <t>商品名⑨</t>
    <rPh sb="0" eb="3">
      <t>ショウヒンナ</t>
    </rPh>
    <phoneticPr fontId="1"/>
  </si>
  <si>
    <t>商品名⑩</t>
    <rPh sb="0" eb="3">
      <t>ショウヒンナ</t>
    </rPh>
    <phoneticPr fontId="1"/>
  </si>
  <si>
    <t>1234567890123456789012345678901234567890</t>
    <phoneticPr fontId="1"/>
  </si>
  <si>
    <t>商品ｺｰﾄﾞ：機工ﾏｽﾀｰ表示</t>
    <rPh sb="0" eb="2">
      <t>ショウヒン</t>
    </rPh>
    <rPh sb="7" eb="9">
      <t>キコウ</t>
    </rPh>
    <rPh sb="13" eb="15">
      <t>ヒョウジ</t>
    </rPh>
    <phoneticPr fontId="1"/>
  </si>
  <si>
    <t>№</t>
    <phoneticPr fontId="1"/>
  </si>
  <si>
    <t>半角33</t>
    <rPh sb="0" eb="2">
      <t>ハンカク</t>
    </rPh>
    <phoneticPr fontId="1"/>
  </si>
  <si>
    <t>12345678901234567890123</t>
    <phoneticPr fontId="1"/>
  </si>
  <si>
    <t>ｺｰﾄﾞ</t>
    <phoneticPr fontId="1"/>
  </si>
  <si>
    <t>ｺｰﾄﾞ①</t>
    <phoneticPr fontId="1"/>
  </si>
  <si>
    <t>ｺｰﾄﾞ②</t>
    <phoneticPr fontId="1"/>
  </si>
  <si>
    <t>ｺｰﾄﾞ③</t>
    <phoneticPr fontId="1"/>
  </si>
  <si>
    <t>E</t>
    <phoneticPr fontId="1"/>
  </si>
  <si>
    <t>123456789012345678901234567890</t>
    <phoneticPr fontId="1"/>
  </si>
  <si>
    <t>半角30</t>
    <rPh sb="0" eb="2">
      <t>ハンカク</t>
    </rPh>
    <phoneticPr fontId="1"/>
  </si>
  <si>
    <t>規格・寸法：機工ﾏｽﾀｰ表示</t>
    <rPh sb="0" eb="2">
      <t>キカク</t>
    </rPh>
    <rPh sb="3" eb="5">
      <t>スンポウ</t>
    </rPh>
    <rPh sb="6" eb="8">
      <t>キコウ</t>
    </rPh>
    <rPh sb="12" eb="14">
      <t>ヒョウジ</t>
    </rPh>
    <phoneticPr fontId="1"/>
  </si>
  <si>
    <t>規格寸法①</t>
    <rPh sb="0" eb="2">
      <t>キカク</t>
    </rPh>
    <rPh sb="2" eb="4">
      <t>スンポウ</t>
    </rPh>
    <phoneticPr fontId="1"/>
  </si>
  <si>
    <t>規格寸法②</t>
    <rPh sb="0" eb="2">
      <t>キカク</t>
    </rPh>
    <rPh sb="2" eb="4">
      <t>スンポウ</t>
    </rPh>
    <phoneticPr fontId="1"/>
  </si>
  <si>
    <t>規格寸法③</t>
    <rPh sb="0" eb="2">
      <t>キカク</t>
    </rPh>
    <rPh sb="2" eb="4">
      <t>スンポウ</t>
    </rPh>
    <phoneticPr fontId="1"/>
  </si>
  <si>
    <t>Ｇ</t>
    <phoneticPr fontId="1"/>
  </si>
  <si>
    <t>単位名</t>
    <rPh sb="0" eb="2">
      <t>タンイ</t>
    </rPh>
    <rPh sb="2" eb="3">
      <t>ナ</t>
    </rPh>
    <phoneticPr fontId="1"/>
  </si>
  <si>
    <t>Ｊ</t>
    <phoneticPr fontId="1"/>
  </si>
  <si>
    <t>Ｋ</t>
    <phoneticPr fontId="1"/>
  </si>
  <si>
    <t>単位</t>
    <rPh sb="0" eb="2">
      <t>タンイ</t>
    </rPh>
    <phoneticPr fontId="1"/>
  </si>
  <si>
    <t>機工ﾏｽﾀｰ表示</t>
    <rPh sb="0" eb="2">
      <t>キコウ</t>
    </rPh>
    <rPh sb="6" eb="8">
      <t>ヒョウジ</t>
    </rPh>
    <phoneticPr fontId="1"/>
  </si>
  <si>
    <t>ﾒｰｶｰ</t>
    <phoneticPr fontId="1"/>
  </si>
  <si>
    <t>Ｃ</t>
    <phoneticPr fontId="1"/>
  </si>
  <si>
    <t>Ｄ</t>
    <phoneticPr fontId="1"/>
  </si>
  <si>
    <t>123546</t>
    <phoneticPr fontId="1"/>
  </si>
  <si>
    <t>略称</t>
    <rPh sb="0" eb="2">
      <t>リャクショウ</t>
    </rPh>
    <phoneticPr fontId="1"/>
  </si>
  <si>
    <t>Ｍ</t>
    <phoneticPr fontId="1"/>
  </si>
  <si>
    <t>Ｎ</t>
    <phoneticPr fontId="1"/>
  </si>
  <si>
    <t>掛率</t>
    <rPh sb="0" eb="2">
      <t>カケリツ</t>
    </rPh>
    <phoneticPr fontId="1"/>
  </si>
  <si>
    <t>仕入＠</t>
    <rPh sb="0" eb="2">
      <t>シイレ</t>
    </rPh>
    <phoneticPr fontId="1"/>
  </si>
  <si>
    <t>機工ﾏｽﾀｰ</t>
    <rPh sb="0" eb="2">
      <t>キコウ</t>
    </rPh>
    <phoneticPr fontId="1"/>
  </si>
  <si>
    <t>表示</t>
    <rPh sb="0" eb="2">
      <t>ヒョウジ</t>
    </rPh>
    <phoneticPr fontId="1"/>
  </si>
  <si>
    <t>掛率</t>
    <rPh sb="0" eb="2">
      <t>カケリツ</t>
    </rPh>
    <phoneticPr fontId="1"/>
  </si>
  <si>
    <t>Ｚ</t>
    <phoneticPr fontId="1"/>
  </si>
  <si>
    <t>売上＠①</t>
    <rPh sb="0" eb="2">
      <t>ウリアゲ</t>
    </rPh>
    <phoneticPr fontId="1"/>
  </si>
  <si>
    <t>売上＠②</t>
    <rPh sb="0" eb="2">
      <t>ウリアゲ</t>
    </rPh>
    <phoneticPr fontId="1"/>
  </si>
  <si>
    <t>特定＠①</t>
    <rPh sb="0" eb="2">
      <t>トクテイ</t>
    </rPh>
    <phoneticPr fontId="1"/>
  </si>
  <si>
    <t>FB</t>
    <phoneticPr fontId="1"/>
  </si>
  <si>
    <t>AJ値ｺﾋﾟｰ</t>
    <rPh sb="2" eb="3">
      <t>アタイ</t>
    </rPh>
    <phoneticPr fontId="1"/>
  </si>
  <si>
    <t>AE値ｺﾋﾟｰ</t>
    <rPh sb="2" eb="3">
      <t>アタイ</t>
    </rPh>
    <phoneticPr fontId="1"/>
  </si>
  <si>
    <t>AO値ｺﾋﾟｰ</t>
    <rPh sb="2" eb="3">
      <t>アタイ</t>
    </rPh>
    <phoneticPr fontId="1"/>
  </si>
  <si>
    <t>AS値ｺﾋﾟｰ</t>
    <rPh sb="2" eb="3">
      <t>アタイ</t>
    </rPh>
    <phoneticPr fontId="1"/>
  </si>
  <si>
    <t>AY値ｺﾋﾟｰ</t>
    <rPh sb="2" eb="3">
      <t>アタイ</t>
    </rPh>
    <phoneticPr fontId="1"/>
  </si>
  <si>
    <t>棚番</t>
    <rPh sb="0" eb="2">
      <t>タナバン</t>
    </rPh>
    <phoneticPr fontId="1"/>
  </si>
  <si>
    <t>半角10</t>
    <rPh sb="0" eb="2">
      <t>ハンカク</t>
    </rPh>
    <phoneticPr fontId="1"/>
  </si>
  <si>
    <t>1234568790</t>
    <phoneticPr fontId="1"/>
  </si>
  <si>
    <t>ｽﾄｯｸ場所</t>
    <rPh sb="4" eb="6">
      <t>バショ</t>
    </rPh>
    <phoneticPr fontId="1"/>
  </si>
  <si>
    <t>自社標準</t>
    <rPh sb="0" eb="2">
      <t>ジシャ</t>
    </rPh>
    <rPh sb="2" eb="4">
      <t>ヒョウジュン</t>
    </rPh>
    <phoneticPr fontId="1"/>
  </si>
  <si>
    <t>在庫評価単価</t>
    <rPh sb="0" eb="2">
      <t>ザイコ</t>
    </rPh>
    <rPh sb="2" eb="4">
      <t>ヒョウカ</t>
    </rPh>
    <rPh sb="4" eb="6">
      <t>タンカ</t>
    </rPh>
    <phoneticPr fontId="1"/>
  </si>
  <si>
    <t>倉庫CD</t>
    <rPh sb="0" eb="2">
      <t>ソウコ</t>
    </rPh>
    <phoneticPr fontId="1"/>
  </si>
  <si>
    <t>半角3</t>
    <rPh sb="0" eb="2">
      <t>ハンカク</t>
    </rPh>
    <phoneticPr fontId="1"/>
  </si>
  <si>
    <t>在庫取寄区分</t>
    <rPh sb="0" eb="2">
      <t>ザイコ</t>
    </rPh>
    <rPh sb="2" eb="4">
      <t>トリヨ</t>
    </rPh>
    <rPh sb="4" eb="6">
      <t>クブン</t>
    </rPh>
    <phoneticPr fontId="1"/>
  </si>
  <si>
    <t>半角1</t>
    <rPh sb="0" eb="2">
      <t>ハンカク</t>
    </rPh>
    <phoneticPr fontId="1"/>
  </si>
  <si>
    <t>在庫評価区分名</t>
    <rPh sb="0" eb="4">
      <t>ザイコヒョウカ</t>
    </rPh>
    <rPh sb="4" eb="6">
      <t>クブン</t>
    </rPh>
    <rPh sb="6" eb="7">
      <t>ナ</t>
    </rPh>
    <phoneticPr fontId="1"/>
  </si>
  <si>
    <t>ER※確認</t>
    <rPh sb="3" eb="5">
      <t>カクニン</t>
    </rPh>
    <phoneticPr fontId="1"/>
  </si>
  <si>
    <t>ET※確認</t>
    <rPh sb="3" eb="5">
      <t>カクニン</t>
    </rPh>
    <phoneticPr fontId="1"/>
  </si>
  <si>
    <t>EW※確認</t>
    <rPh sb="2" eb="5">
      <t>コメカクニン</t>
    </rPh>
    <phoneticPr fontId="1"/>
  </si>
  <si>
    <t>EX※確認</t>
    <rPh sb="2" eb="5">
      <t>コメカクニン</t>
    </rPh>
    <phoneticPr fontId="1"/>
  </si>
  <si>
    <t>常時</t>
    <rPh sb="0" eb="2">
      <t>ジョウジ</t>
    </rPh>
    <phoneticPr fontId="1"/>
  </si>
  <si>
    <t>売切</t>
    <rPh sb="0" eb="2">
      <t>ウリキ</t>
    </rPh>
    <phoneticPr fontId="1"/>
  </si>
  <si>
    <t>価格改定日</t>
    <rPh sb="0" eb="5">
      <t>カカクカイテイヒ</t>
    </rPh>
    <phoneticPr fontId="1"/>
  </si>
  <si>
    <t>現</t>
    <rPh sb="0" eb="1">
      <t>ゲン</t>
    </rPh>
    <phoneticPr fontId="1"/>
  </si>
  <si>
    <t>予定</t>
    <rPh sb="0" eb="2">
      <t>ヨテイ</t>
    </rPh>
    <phoneticPr fontId="1"/>
  </si>
  <si>
    <t>メモ</t>
    <phoneticPr fontId="1"/>
  </si>
  <si>
    <t>現設定日</t>
    <rPh sb="0" eb="1">
      <t>ゲン</t>
    </rPh>
    <rPh sb="1" eb="3">
      <t>セッテイ</t>
    </rPh>
    <rPh sb="3" eb="4">
      <t>ヒ</t>
    </rPh>
    <phoneticPr fontId="1"/>
  </si>
  <si>
    <t>価格改訂日</t>
    <rPh sb="0" eb="2">
      <t>カカク</t>
    </rPh>
    <rPh sb="2" eb="4">
      <t>カイテイ</t>
    </rPh>
    <rPh sb="4" eb="5">
      <t>ヒ</t>
    </rPh>
    <phoneticPr fontId="1"/>
  </si>
  <si>
    <t>仕入先情報</t>
    <rPh sb="0" eb="3">
      <t>シイレサキ</t>
    </rPh>
    <rPh sb="3" eb="5">
      <t>ジョウホウ</t>
    </rPh>
    <phoneticPr fontId="1"/>
  </si>
  <si>
    <t>仕入先候補①</t>
    <rPh sb="0" eb="3">
      <t>シイレサキ</t>
    </rPh>
    <rPh sb="3" eb="5">
      <t>コウホ</t>
    </rPh>
    <phoneticPr fontId="1"/>
  </si>
  <si>
    <t>仕入先候補②</t>
    <rPh sb="0" eb="3">
      <t>シイレサキ</t>
    </rPh>
    <rPh sb="3" eb="5">
      <t>コウホ</t>
    </rPh>
    <phoneticPr fontId="1"/>
  </si>
  <si>
    <t>ﾄﾘﾖｾ</t>
    <phoneticPr fontId="1"/>
  </si>
  <si>
    <t>Ｘ</t>
    <phoneticPr fontId="1"/>
  </si>
  <si>
    <t>ﾍﾟｰｼﾞ</t>
    <phoneticPr fontId="1"/>
  </si>
  <si>
    <t>安い</t>
    <rPh sb="0" eb="1">
      <t>ヤス</t>
    </rPh>
    <phoneticPr fontId="1"/>
  </si>
  <si>
    <t>小箱</t>
    <rPh sb="0" eb="2">
      <t>コバコ</t>
    </rPh>
    <phoneticPr fontId="1"/>
  </si>
  <si>
    <t>バラ</t>
    <phoneticPr fontId="1"/>
  </si>
  <si>
    <t>高い</t>
    <rPh sb="0" eb="1">
      <t>タカ</t>
    </rPh>
    <phoneticPr fontId="1"/>
  </si>
  <si>
    <t>特定＠②</t>
    <rPh sb="0" eb="2">
      <t>トクテイ</t>
    </rPh>
    <phoneticPr fontId="1"/>
  </si>
  <si>
    <t>特定＠③</t>
    <rPh sb="0" eb="2">
      <t>トクテイ</t>
    </rPh>
    <phoneticPr fontId="1"/>
  </si>
  <si>
    <t>特定＠④</t>
    <rPh sb="0" eb="2">
      <t>トクテイ</t>
    </rPh>
    <phoneticPr fontId="1"/>
  </si>
  <si>
    <t>B</t>
    <phoneticPr fontId="1"/>
  </si>
  <si>
    <t>02</t>
    <phoneticPr fontId="1"/>
  </si>
  <si>
    <t>本</t>
    <rPh sb="0" eb="1">
      <t>ホン</t>
    </rPh>
    <phoneticPr fontId="1"/>
  </si>
  <si>
    <t>03</t>
    <phoneticPr fontId="1"/>
  </si>
  <si>
    <t>01</t>
    <phoneticPr fontId="1"/>
  </si>
  <si>
    <t>三興ﾏﾃﾘｱﾙｻﾌﾟﾗｲ</t>
    <rPh sb="0" eb="2">
      <t>サンコウ</t>
    </rPh>
    <phoneticPr fontId="1"/>
  </si>
  <si>
    <t>ﾕﾆｵﾝ</t>
    <phoneticPr fontId="1"/>
  </si>
  <si>
    <t>K21</t>
    <phoneticPr fontId="1"/>
  </si>
  <si>
    <t>OSG</t>
    <phoneticPr fontId="1"/>
  </si>
  <si>
    <t>D</t>
    <phoneticPr fontId="1"/>
  </si>
  <si>
    <t>P</t>
    <phoneticPr fontId="1"/>
  </si>
  <si>
    <t>ﾌﾛｰﾊﾞﾙ</t>
    <phoneticPr fontId="1"/>
  </si>
  <si>
    <t>黄銅ﾒｯｷ付</t>
    <rPh sb="0" eb="2">
      <t>オウドウ</t>
    </rPh>
    <rPh sb="5" eb="6">
      <t>ツキ</t>
    </rPh>
    <phoneticPr fontId="1"/>
  </si>
  <si>
    <t>H</t>
    <phoneticPr fontId="1"/>
  </si>
  <si>
    <t>M</t>
    <phoneticPr fontId="1"/>
  </si>
  <si>
    <t>L</t>
    <phoneticPr fontId="1"/>
  </si>
  <si>
    <t>昭和ｺｰﾎﾟﾚｰｼｮﾝ</t>
    <rPh sb="0" eb="2">
      <t>ショウワ</t>
    </rPh>
    <phoneticPr fontId="1"/>
  </si>
  <si>
    <t>T32</t>
    <phoneticPr fontId="1"/>
  </si>
  <si>
    <t>ｽｲｺｰ</t>
    <phoneticPr fontId="1"/>
  </si>
  <si>
    <t>ｻﾝｺｰﾃｸﾉ</t>
    <phoneticPr fontId="1"/>
  </si>
  <si>
    <t>提出</t>
    <rPh sb="0" eb="2">
      <t>テイシュツ</t>
    </rPh>
    <phoneticPr fontId="1"/>
  </si>
  <si>
    <t>商社CD</t>
  </si>
  <si>
    <t>商社略称</t>
  </si>
  <si>
    <t>ﾒｰｶｰCD</t>
  </si>
  <si>
    <t>ﾒｰｶｰ略称</t>
  </si>
  <si>
    <t>商品CD</t>
  </si>
  <si>
    <t>商品名</t>
  </si>
  <si>
    <t>規格・寸法</t>
  </si>
  <si>
    <t>商品名ｶﾅ</t>
  </si>
  <si>
    <t>JANCD</t>
  </si>
  <si>
    <t>単位CD</t>
  </si>
  <si>
    <t>単位名</t>
  </si>
  <si>
    <t>入数</t>
  </si>
  <si>
    <t>標準仕入先CD</t>
  </si>
  <si>
    <t>標準仕入先名</t>
  </si>
  <si>
    <t>分類商社CD</t>
  </si>
  <si>
    <t>分類商社略称</t>
  </si>
  <si>
    <t>大分類CD</t>
  </si>
  <si>
    <t>大分類名</t>
  </si>
  <si>
    <t>中分類CD</t>
  </si>
  <si>
    <t>中分類名</t>
  </si>
  <si>
    <t>小分類CD</t>
  </si>
  <si>
    <t>小分類名</t>
  </si>
  <si>
    <t>詳細分類CD</t>
  </si>
  <si>
    <t>詳細分類名</t>
  </si>
  <si>
    <t>価格名称</t>
  </si>
  <si>
    <t>定価(税抜)</t>
  </si>
  <si>
    <t>定価(税込)</t>
  </si>
  <si>
    <t>定価(掛率基準)</t>
  </si>
  <si>
    <t>定価(掛率)</t>
  </si>
  <si>
    <t>価格1名称</t>
  </si>
  <si>
    <t>価格1(税抜)</t>
  </si>
  <si>
    <t>価格1(税込)</t>
  </si>
  <si>
    <t>価格1(掛率基準)</t>
  </si>
  <si>
    <t>価格1(掛率)</t>
  </si>
  <si>
    <t>価格2名称</t>
  </si>
  <si>
    <t>価格2(税抜)</t>
  </si>
  <si>
    <t>価格2(税込)</t>
  </si>
  <si>
    <t>価格2(掛率基準)</t>
  </si>
  <si>
    <t>価格2(掛率)</t>
  </si>
  <si>
    <t>価格3名称</t>
  </si>
  <si>
    <t>価格3(税抜)</t>
  </si>
  <si>
    <t>価格3(税込)</t>
  </si>
  <si>
    <t>価格3(掛率基準)</t>
  </si>
  <si>
    <t>価格3(掛率)</t>
  </si>
  <si>
    <t>価格4名称</t>
  </si>
  <si>
    <t>価格4(税抜)</t>
  </si>
  <si>
    <t>価格4(税込)</t>
  </si>
  <si>
    <t>価格4(掛率基準)</t>
  </si>
  <si>
    <t>価格4(掛率)</t>
  </si>
  <si>
    <t>価格5名称</t>
  </si>
  <si>
    <t>価格5(税抜)</t>
  </si>
  <si>
    <t>価格5(税込)</t>
  </si>
  <si>
    <t>価格5(掛率基準)</t>
  </si>
  <si>
    <t>価格5(掛率)</t>
  </si>
  <si>
    <t>価格6名称</t>
  </si>
  <si>
    <t>価格6(税抜)</t>
  </si>
  <si>
    <t>価格6(税込)</t>
  </si>
  <si>
    <t>価格6(掛率基準)</t>
  </si>
  <si>
    <t>価格6(掛率)</t>
  </si>
  <si>
    <t>価格7名称</t>
  </si>
  <si>
    <t>価格7(税抜)</t>
  </si>
  <si>
    <t>価格7(税込)</t>
  </si>
  <si>
    <t>価格7(掛率基準)</t>
  </si>
  <si>
    <t>価格7(掛率)</t>
  </si>
  <si>
    <t>価格8名称</t>
  </si>
  <si>
    <t>価格8(税抜)</t>
  </si>
  <si>
    <t>価格8(税込)</t>
  </si>
  <si>
    <t>価格8(掛率基準)</t>
  </si>
  <si>
    <t>価格8(掛率)</t>
  </si>
  <si>
    <t>価格9名称</t>
  </si>
  <si>
    <t>価格9(税抜)</t>
  </si>
  <si>
    <t>価格9(税込)</t>
  </si>
  <si>
    <t>価格9(掛率基準)</t>
  </si>
  <si>
    <t>価格9(掛率)</t>
  </si>
  <si>
    <t>(新)定価(適用日)</t>
  </si>
  <si>
    <t>(新)定価(税抜)</t>
  </si>
  <si>
    <t>(新)定価(税込)</t>
  </si>
  <si>
    <t>(新)定価(掛率基準)</t>
  </si>
  <si>
    <t>(新)定価(掛率)</t>
  </si>
  <si>
    <t>(新)価格1(適用日)</t>
  </si>
  <si>
    <t>(新)価格1(税抜)</t>
  </si>
  <si>
    <t>(新)価格1(税込)</t>
  </si>
  <si>
    <t>(新)価格1(掛率基準)</t>
  </si>
  <si>
    <t>(新)価格1(掛率)</t>
  </si>
  <si>
    <t>(新)価格2(適用日)</t>
  </si>
  <si>
    <t>(新)価格2(税抜)</t>
  </si>
  <si>
    <t>(新)価格2(税込)</t>
  </si>
  <si>
    <t>(新)価格2(掛率基準)</t>
  </si>
  <si>
    <t>(新)価格2(掛率)</t>
  </si>
  <si>
    <t>(新)価格3(適用日)</t>
  </si>
  <si>
    <t>(新)価格3(税抜)</t>
  </si>
  <si>
    <t>(新)価格3(税込)</t>
  </si>
  <si>
    <t>(新)価格3(掛率基準)</t>
  </si>
  <si>
    <t>(新)価格3(掛率)</t>
  </si>
  <si>
    <t>(新)価格4(適用日)</t>
  </si>
  <si>
    <t>(新)価格4(税抜)</t>
  </si>
  <si>
    <t>(新)価格4(税込)</t>
  </si>
  <si>
    <t>(新)価格4(掛率基準)</t>
  </si>
  <si>
    <t>(新)価格4(掛率)</t>
  </si>
  <si>
    <t>(新)価格5(適用日)</t>
  </si>
  <si>
    <t>(新)価格5(税抜)</t>
  </si>
  <si>
    <t>(新)価格5(税込)</t>
  </si>
  <si>
    <t>(新)価格5(掛率基準)</t>
  </si>
  <si>
    <t>(新)価格5(掛率)</t>
  </si>
  <si>
    <t>(新)価格6(適用日)</t>
  </si>
  <si>
    <t>(新)価格6(税抜)</t>
  </si>
  <si>
    <t>(新)価格6(税込)</t>
  </si>
  <si>
    <t>(新)価格6(掛率基準)</t>
  </si>
  <si>
    <t>(新)価格6(掛率)</t>
  </si>
  <si>
    <t>(新)価格7(適用日)</t>
  </si>
  <si>
    <t>(新)価格7(税抜)</t>
  </si>
  <si>
    <t>(新)価格7(税込)</t>
  </si>
  <si>
    <t>(新)価格7(掛率基準)</t>
  </si>
  <si>
    <t>(新)価格7(掛率)</t>
  </si>
  <si>
    <t>(新)価格8(適用日)</t>
  </si>
  <si>
    <t>(新)価格8(税抜)</t>
  </si>
  <si>
    <t>(新)価格8(税込)</t>
  </si>
  <si>
    <t>(新)価格8(掛率基準)</t>
  </si>
  <si>
    <t>(新)価格8(掛率)</t>
  </si>
  <si>
    <t>(新)価格9(適用日)</t>
  </si>
  <si>
    <t>(新)価格9(税抜)</t>
  </si>
  <si>
    <t>(新)価格9(税込)</t>
  </si>
  <si>
    <t>(新)価格9(掛率基準)</t>
  </si>
  <si>
    <t>(新)価格9(掛率)</t>
  </si>
  <si>
    <t>層別</t>
  </si>
  <si>
    <t>等級管理区分</t>
  </si>
  <si>
    <t>等級管理区分名</t>
  </si>
  <si>
    <t>商品諸口区分</t>
  </si>
  <si>
    <t>商品諸口区分名</t>
  </si>
  <si>
    <t>課税区分</t>
  </si>
  <si>
    <t>課税区分名</t>
  </si>
  <si>
    <t>計算区分</t>
  </si>
  <si>
    <t>計算区分名</t>
  </si>
  <si>
    <t>商品属性1</t>
  </si>
  <si>
    <t>商品属性2</t>
  </si>
  <si>
    <t>商品属性3</t>
  </si>
  <si>
    <t>商品属性4</t>
  </si>
  <si>
    <t>商品属性5</t>
  </si>
  <si>
    <t>数量目標</t>
  </si>
  <si>
    <t>売上目標</t>
  </si>
  <si>
    <t>粗利目標</t>
  </si>
  <si>
    <t>集計ｷｰ1</t>
  </si>
  <si>
    <t>集計ｷｰ2</t>
  </si>
  <si>
    <t>表示順位</t>
  </si>
  <si>
    <t>取扱開始日</t>
  </si>
  <si>
    <t>取扱終了日</t>
  </si>
  <si>
    <t>商品ﾒﾓ</t>
  </si>
  <si>
    <t>在庫取寄区分</t>
  </si>
  <si>
    <t>在庫取寄区分名</t>
  </si>
  <si>
    <t>倉庫CD</t>
  </si>
  <si>
    <t>倉庫名</t>
  </si>
  <si>
    <t>在庫評価区分</t>
  </si>
  <si>
    <t>在庫評価区分名</t>
  </si>
  <si>
    <t>在庫評価単価</t>
  </si>
  <si>
    <t>発注区分</t>
  </si>
  <si>
    <t>発注区分名</t>
  </si>
  <si>
    <t>商品掛率ｸﾞﾙｰﾌﾟ</t>
  </si>
  <si>
    <t>棚番</t>
    <rPh sb="0" eb="1">
      <t>タナ</t>
    </rPh>
    <rPh sb="1" eb="2">
      <t>バン</t>
    </rPh>
    <phoneticPr fontId="1"/>
  </si>
  <si>
    <t>半角数字(8)</t>
  </si>
  <si>
    <t/>
  </si>
  <si>
    <t>半角数字(6)</t>
  </si>
  <si>
    <t>★半角(33)</t>
  </si>
  <si>
    <t>★全角(40)</t>
  </si>
  <si>
    <t>全角(30)</t>
  </si>
  <si>
    <t>半角(20)</t>
  </si>
  <si>
    <t>半角数字(2)</t>
  </si>
  <si>
    <t>半角数値(6.2)</t>
  </si>
  <si>
    <t>半角(6)</t>
  </si>
  <si>
    <t>半角数値(8.2)</t>
  </si>
  <si>
    <t>半角数値(3.2)</t>
  </si>
  <si>
    <t>半角日付(10)</t>
  </si>
  <si>
    <t>半角数字(1)</t>
  </si>
  <si>
    <t>半角(1)</t>
  </si>
  <si>
    <t>半角数値(11)</t>
  </si>
  <si>
    <t>半角(4)</t>
  </si>
  <si>
    <t>全角(800)</t>
  </si>
  <si>
    <t>半角数字(3)</t>
  </si>
  <si>
    <t>半角数字(8.2)</t>
  </si>
  <si>
    <t>半角(10)</t>
    <phoneticPr fontId="1"/>
  </si>
  <si>
    <t>888888</t>
    <phoneticPr fontId="1"/>
  </si>
  <si>
    <t>　</t>
  </si>
  <si>
    <t>SNI6</t>
    <phoneticPr fontId="1"/>
  </si>
  <si>
    <t>ｽﾃﾝﾚｽ ﾈｼﾞｺﾐ 両口ﾆｯﾌﾟﾙ 6A</t>
  </si>
  <si>
    <t>04100901</t>
  </si>
  <si>
    <t>1.00</t>
  </si>
  <si>
    <t>仕切り</t>
    <rPh sb="0" eb="2">
      <t>シキ</t>
    </rPh>
    <phoneticPr fontId="1"/>
  </si>
  <si>
    <t>0</t>
  </si>
  <si>
    <t>しない</t>
  </si>
  <si>
    <t>通常商品</t>
  </si>
  <si>
    <t>00</t>
    <phoneticPr fontId="1"/>
  </si>
  <si>
    <t>外税</t>
  </si>
  <si>
    <t>通常</t>
  </si>
  <si>
    <t>0.00</t>
  </si>
  <si>
    <t>10000.00</t>
  </si>
  <si>
    <t>在庫品</t>
    <rPh sb="0" eb="3">
      <t>ザイコヒン</t>
    </rPh>
    <phoneticPr fontId="1"/>
  </si>
  <si>
    <t>001</t>
    <phoneticPr fontId="1"/>
  </si>
  <si>
    <t>本社倉庫</t>
    <rPh sb="0" eb="2">
      <t>ホンシャ</t>
    </rPh>
    <rPh sb="2" eb="4">
      <t>ソウコ</t>
    </rPh>
    <phoneticPr fontId="1"/>
  </si>
  <si>
    <t>自社標準</t>
  </si>
  <si>
    <t>C1</t>
  </si>
  <si>
    <t>ｾｲﾌﾞ</t>
  </si>
  <si>
    <t>暁鋲螺</t>
    <rPh sb="0" eb="1">
      <t>アカツキ</t>
    </rPh>
    <rPh sb="1" eb="3">
      <t>ビョウラ</t>
    </rPh>
    <phoneticPr fontId="1"/>
  </si>
  <si>
    <t>ｱﾏﾀﾞﾏｼﾅﾘｰ</t>
    <phoneticPr fontId="1"/>
  </si>
  <si>
    <t>粟井機鋼</t>
    <rPh sb="0" eb="2">
      <t>アワイ</t>
    </rPh>
    <rPh sb="2" eb="4">
      <t>キコウ</t>
    </rPh>
    <phoneticPr fontId="1"/>
  </si>
  <si>
    <t>三有研器</t>
    <rPh sb="0" eb="1">
      <t>サン</t>
    </rPh>
    <rPh sb="1" eb="2">
      <t>ユウ</t>
    </rPh>
    <rPh sb="2" eb="3">
      <t>ケン</t>
    </rPh>
    <rPh sb="3" eb="4">
      <t>キ</t>
    </rPh>
    <phoneticPr fontId="1"/>
  </si>
  <si>
    <t>IZUSHI</t>
    <phoneticPr fontId="1"/>
  </si>
  <si>
    <t>いけうち</t>
    <phoneticPr fontId="1"/>
  </si>
  <si>
    <t>丸晋</t>
    <rPh sb="0" eb="1">
      <t>マル</t>
    </rPh>
    <rPh sb="1" eb="2">
      <t>シン</t>
    </rPh>
    <phoneticPr fontId="1"/>
  </si>
  <si>
    <t>椿広告社</t>
    <rPh sb="0" eb="1">
      <t>ツバキ</t>
    </rPh>
    <rPh sb="1" eb="4">
      <t>コウコクシャ</t>
    </rPh>
    <phoneticPr fontId="1"/>
  </si>
  <si>
    <t>日本電化工業所</t>
    <rPh sb="0" eb="2">
      <t>ニホン</t>
    </rPh>
    <rPh sb="2" eb="4">
      <t>デンカ</t>
    </rPh>
    <rPh sb="4" eb="6">
      <t>コウギョウ</t>
    </rPh>
    <rPh sb="6" eb="7">
      <t>ショ</t>
    </rPh>
    <phoneticPr fontId="1"/>
  </si>
  <si>
    <t>伊藤鐵工所</t>
    <rPh sb="0" eb="2">
      <t>イトウ</t>
    </rPh>
    <rPh sb="2" eb="5">
      <t>テッコウショ</t>
    </rPh>
    <phoneticPr fontId="1"/>
  </si>
  <si>
    <t>梅田機工</t>
    <rPh sb="0" eb="2">
      <t>ウメダ</t>
    </rPh>
    <rPh sb="2" eb="4">
      <t>キコウ</t>
    </rPh>
    <phoneticPr fontId="1"/>
  </si>
  <si>
    <t>ｺｰｴｲ工業</t>
    <rPh sb="4" eb="6">
      <t>コウギョウ</t>
    </rPh>
    <phoneticPr fontId="1"/>
  </si>
  <si>
    <t>ﾂｼﾞｶﾜ</t>
    <phoneticPr fontId="1"/>
  </si>
  <si>
    <t>SMC</t>
  </si>
  <si>
    <t>ﾌﾛｰﾊﾞﾙ</t>
  </si>
  <si>
    <t>ｵﾉﾏｼﾝ</t>
  </si>
  <si>
    <t>岡本機工</t>
    <rPh sb="0" eb="2">
      <t>オカモト</t>
    </rPh>
    <rPh sb="2" eb="4">
      <t>キコウ</t>
    </rPh>
    <phoneticPr fontId="1"/>
  </si>
  <si>
    <t>大塚ﾍﾟｲﾝﾄ</t>
    <rPh sb="0" eb="2">
      <t>オオツカ</t>
    </rPh>
    <phoneticPr fontId="1"/>
  </si>
  <si>
    <t>岡野商事</t>
    <rPh sb="0" eb="2">
      <t>オカノ</t>
    </rPh>
    <rPh sb="2" eb="4">
      <t>ショウジ</t>
    </rPh>
    <phoneticPr fontId="1"/>
  </si>
  <si>
    <t>大尾不動産</t>
    <rPh sb="0" eb="2">
      <t>ダイオ</t>
    </rPh>
    <rPh sb="2" eb="5">
      <t>フドウサン</t>
    </rPh>
    <phoneticPr fontId="1"/>
  </si>
  <si>
    <t>尾崎商事</t>
    <rPh sb="0" eb="2">
      <t>オザキ</t>
    </rPh>
    <rPh sb="2" eb="4">
      <t>ショウジ</t>
    </rPh>
    <phoneticPr fontId="1"/>
  </si>
  <si>
    <t>ｵｰﾔﾗｯｸｽ</t>
  </si>
  <si>
    <t>川西水道機器</t>
    <rPh sb="0" eb="2">
      <t>カワニシ</t>
    </rPh>
    <rPh sb="2" eb="4">
      <t>スイドウ</t>
    </rPh>
    <rPh sb="4" eb="6">
      <t>キキ</t>
    </rPh>
    <phoneticPr fontId="1"/>
  </si>
  <si>
    <t>ｶﾂﾔﾏｷｶｲ</t>
  </si>
  <si>
    <t>川本製作所</t>
    <rPh sb="0" eb="5">
      <t>カワモトセイサクショ</t>
    </rPh>
    <phoneticPr fontId="1"/>
  </si>
  <si>
    <t>河原</t>
    <rPh sb="0" eb="2">
      <t>カワハラ</t>
    </rPh>
    <phoneticPr fontId="1"/>
  </si>
  <si>
    <t>春日電機</t>
    <rPh sb="0" eb="2">
      <t>カスガ</t>
    </rPh>
    <rPh sb="2" eb="4">
      <t>デンキ</t>
    </rPh>
    <phoneticPr fontId="1"/>
  </si>
  <si>
    <t>河村ｽｸﾘｰﾝﾌﾟﾚｰﾄ</t>
    <rPh sb="0" eb="2">
      <t>カワムラ</t>
    </rPh>
    <phoneticPr fontId="1"/>
  </si>
  <si>
    <t>ｴｽｷｰ工機</t>
    <rPh sb="4" eb="6">
      <t>コウキ</t>
    </rPh>
    <phoneticPr fontId="1"/>
  </si>
  <si>
    <t>ﾏﾂ六</t>
    <rPh sb="2" eb="3">
      <t>ロク</t>
    </rPh>
    <phoneticPr fontId="1"/>
  </si>
  <si>
    <t>文化ｼｬｯﾀｰｻｰﾋﾞｽ</t>
    <rPh sb="0" eb="2">
      <t>ブンカ</t>
    </rPh>
    <phoneticPr fontId="1"/>
  </si>
  <si>
    <t>ｵｰﾀｹ</t>
  </si>
  <si>
    <t>M.Ligare</t>
    <phoneticPr fontId="1"/>
  </si>
  <si>
    <t>芝西特殊技研</t>
    <rPh sb="0" eb="2">
      <t>シバニシ</t>
    </rPh>
    <rPh sb="2" eb="4">
      <t>トクシュ</t>
    </rPh>
    <rPh sb="4" eb="6">
      <t>ギケン</t>
    </rPh>
    <phoneticPr fontId="1"/>
  </si>
  <si>
    <t>日精㈱</t>
    <rPh sb="0" eb="2">
      <t>ニッセイ</t>
    </rPh>
    <phoneticPr fontId="1"/>
  </si>
  <si>
    <t>㈱ｺﾞｳﾀﾞ</t>
    <phoneticPr fontId="1"/>
  </si>
  <si>
    <t>㈱光洋</t>
    <rPh sb="1" eb="3">
      <t>コウヨウ</t>
    </rPh>
    <phoneticPr fontId="1"/>
  </si>
  <si>
    <t>ｺﾔﾏ商店</t>
    <rPh sb="3" eb="5">
      <t>ショウテン</t>
    </rPh>
    <phoneticPr fontId="1"/>
  </si>
  <si>
    <t>ｱｽｸﾙ</t>
    <phoneticPr fontId="1"/>
  </si>
  <si>
    <t>ｺﾝﾃｯｸ</t>
  </si>
  <si>
    <t>森川㈱</t>
    <rPh sb="0" eb="2">
      <t>モリカワ</t>
    </rPh>
    <phoneticPr fontId="1"/>
  </si>
  <si>
    <t>三協精機</t>
    <rPh sb="0" eb="2">
      <t>サンキョウ</t>
    </rPh>
    <rPh sb="2" eb="4">
      <t>セイキ</t>
    </rPh>
    <phoneticPr fontId="1"/>
  </si>
  <si>
    <t>ｻﾝｷ</t>
  </si>
  <si>
    <t>ﾌﾟﾗｽ</t>
    <phoneticPr fontId="1"/>
  </si>
  <si>
    <t>さつき商事</t>
    <rPh sb="3" eb="5">
      <t>ショウジ</t>
    </rPh>
    <phoneticPr fontId="1"/>
  </si>
  <si>
    <t>SANEU</t>
    <phoneticPr fontId="1"/>
  </si>
  <si>
    <t>三興ﾏﾃﾘｱﾙ</t>
    <rPh sb="0" eb="2">
      <t>サンコウ</t>
    </rPh>
    <phoneticPr fontId="1"/>
  </si>
  <si>
    <t>ｻﾄｰｴﾝｼﾞ</t>
    <phoneticPr fontId="1"/>
  </si>
  <si>
    <t>ｻﾝｺｰﾃｸﾉ</t>
  </si>
  <si>
    <t>ﾌｫｰﾃﾞｯｸ</t>
    <phoneticPr fontId="1"/>
  </si>
  <si>
    <t>北四国商事</t>
    <rPh sb="0" eb="3">
      <t>キタシコク</t>
    </rPh>
    <rPh sb="3" eb="5">
      <t>ショウジ</t>
    </rPh>
    <phoneticPr fontId="1"/>
  </si>
  <si>
    <t>ｼﾊﾞﾀ</t>
  </si>
  <si>
    <t>新浜ﾎﾟﾝﾌﾟ製作所</t>
    <rPh sb="0" eb="1">
      <t>シン</t>
    </rPh>
    <rPh sb="1" eb="2">
      <t>ハマ</t>
    </rPh>
    <rPh sb="7" eb="10">
      <t>セイサクショ</t>
    </rPh>
    <phoneticPr fontId="1"/>
  </si>
  <si>
    <t>信栄機鋼</t>
    <rPh sb="0" eb="2">
      <t>シンエイ</t>
    </rPh>
    <rPh sb="2" eb="4">
      <t>キコウ</t>
    </rPh>
    <phoneticPr fontId="1"/>
  </si>
  <si>
    <t>田代商店</t>
    <rPh sb="0" eb="2">
      <t>タシロ</t>
    </rPh>
    <rPh sb="2" eb="4">
      <t>ショウテン</t>
    </rPh>
    <phoneticPr fontId="1"/>
  </si>
  <si>
    <t>ｼｰﾌﾟﾛﾝ化成</t>
    <rPh sb="6" eb="8">
      <t>カセイ</t>
    </rPh>
    <phoneticPr fontId="1"/>
  </si>
  <si>
    <t>四国溶材</t>
    <rPh sb="0" eb="2">
      <t>シコク</t>
    </rPh>
    <rPh sb="2" eb="4">
      <t>ヨウザイ</t>
    </rPh>
    <phoneticPr fontId="1"/>
  </si>
  <si>
    <t>新興弁栓</t>
    <rPh sb="0" eb="2">
      <t>シンコウ</t>
    </rPh>
    <rPh sb="2" eb="3">
      <t>ベン</t>
    </rPh>
    <rPh sb="3" eb="4">
      <t>セン</t>
    </rPh>
    <phoneticPr fontId="1"/>
  </si>
  <si>
    <t>ｼﾝﾜ㈱</t>
    <phoneticPr fontId="1"/>
  </si>
  <si>
    <t>四国製鋼</t>
    <rPh sb="0" eb="2">
      <t>シコク</t>
    </rPh>
    <rPh sb="2" eb="4">
      <t>セイコウ</t>
    </rPh>
    <phoneticPr fontId="1"/>
  </si>
  <si>
    <t>篠原明金鋼製造所</t>
    <rPh sb="0" eb="2">
      <t>シノハラ</t>
    </rPh>
    <rPh sb="2" eb="3">
      <t>メイ</t>
    </rPh>
    <rPh sb="3" eb="4">
      <t>キン</t>
    </rPh>
    <rPh sb="4" eb="5">
      <t>コウ</t>
    </rPh>
    <rPh sb="5" eb="7">
      <t>セイゾウ</t>
    </rPh>
    <rPh sb="7" eb="8">
      <t>ショ</t>
    </rPh>
    <phoneticPr fontId="1"/>
  </si>
  <si>
    <t>塩屋</t>
    <rPh sb="0" eb="2">
      <t>シオヤ</t>
    </rPh>
    <phoneticPr fontId="1"/>
  </si>
  <si>
    <t>ｴｽﾌﾞｲｴﾌ</t>
    <phoneticPr fontId="1"/>
  </si>
  <si>
    <t>杉本商事</t>
    <rPh sb="0" eb="2">
      <t>スギモト</t>
    </rPh>
    <rPh sb="2" eb="4">
      <t>ショウジ</t>
    </rPh>
    <phoneticPr fontId="1"/>
  </si>
  <si>
    <t>住ｺﾞﾑ産業</t>
    <rPh sb="0" eb="1">
      <t>ス</t>
    </rPh>
    <rPh sb="4" eb="6">
      <t>サンギョウ</t>
    </rPh>
    <phoneticPr fontId="1"/>
  </si>
  <si>
    <t>瀬戸内ｽﾘｰﾎﾞﾝﾄﾞ</t>
    <rPh sb="0" eb="3">
      <t>セトウチ</t>
    </rPh>
    <phoneticPr fontId="1"/>
  </si>
  <si>
    <t>尼崎工作所</t>
    <rPh sb="0" eb="2">
      <t>アマガサキ</t>
    </rPh>
    <rPh sb="2" eb="4">
      <t>コウサク</t>
    </rPh>
    <rPh sb="4" eb="5">
      <t>ショ</t>
    </rPh>
    <phoneticPr fontId="1"/>
  </si>
  <si>
    <t>西日本ｾｷｽｲ</t>
    <rPh sb="0" eb="1">
      <t>ニシ</t>
    </rPh>
    <rPh sb="1" eb="3">
      <t>ニホン</t>
    </rPh>
    <phoneticPr fontId="1"/>
  </si>
  <si>
    <t>ｾｷｾﾞﾝ</t>
    <phoneticPr fontId="1"/>
  </si>
  <si>
    <t>ﾀｲｶﾜ商事</t>
    <rPh sb="4" eb="6">
      <t>ショウジ</t>
    </rPh>
    <phoneticPr fontId="1"/>
  </si>
  <si>
    <t>第一精機ｴﾝｼﾞﾆｱﾘﾝｸﾞ</t>
    <rPh sb="0" eb="2">
      <t>ダイイチ</t>
    </rPh>
    <rPh sb="2" eb="4">
      <t>セイキ</t>
    </rPh>
    <phoneticPr fontId="1"/>
  </si>
  <si>
    <t>ﾀｷｹﾞﾝ製造</t>
    <rPh sb="5" eb="7">
      <t>セイゾウ</t>
    </rPh>
    <phoneticPr fontId="1"/>
  </si>
  <si>
    <t>ﾀﾞｲｹﾝ</t>
    <phoneticPr fontId="1"/>
  </si>
  <si>
    <t>大喜産業</t>
    <rPh sb="0" eb="2">
      <t>ダイキ</t>
    </rPh>
    <rPh sb="2" eb="4">
      <t>サンギョウ</t>
    </rPh>
    <phoneticPr fontId="1"/>
  </si>
  <si>
    <t>大和住宅ｻﾞｰﾋﾞｽ</t>
    <rPh sb="0" eb="2">
      <t>ダイワ</t>
    </rPh>
    <rPh sb="2" eb="4">
      <t>ジュウタク</t>
    </rPh>
    <phoneticPr fontId="1"/>
  </si>
  <si>
    <t>千代田組</t>
    <rPh sb="0" eb="4">
      <t>チヨダグミ</t>
    </rPh>
    <phoneticPr fontId="1"/>
  </si>
  <si>
    <t>鶴見製作所</t>
    <rPh sb="0" eb="2">
      <t>ツルミ</t>
    </rPh>
    <rPh sb="2" eb="5">
      <t>セイサクショ</t>
    </rPh>
    <phoneticPr fontId="1"/>
  </si>
  <si>
    <t>ﾃｲｴﾙﾌﾞｲ</t>
    <phoneticPr fontId="1"/>
  </si>
  <si>
    <t>東邦産業</t>
    <rPh sb="0" eb="2">
      <t>トウホウ</t>
    </rPh>
    <rPh sb="2" eb="4">
      <t>サンギョウ</t>
    </rPh>
    <phoneticPr fontId="1"/>
  </si>
  <si>
    <t>豊嶋商店</t>
    <rPh sb="0" eb="2">
      <t>トヨシマ</t>
    </rPh>
    <rPh sb="2" eb="4">
      <t>ショウテン</t>
    </rPh>
    <phoneticPr fontId="1"/>
  </si>
  <si>
    <t>酉島製作所</t>
    <rPh sb="0" eb="2">
      <t>トリシマ</t>
    </rPh>
    <rPh sb="2" eb="5">
      <t>セイサクショ</t>
    </rPh>
    <phoneticPr fontId="1"/>
  </si>
  <si>
    <t>東洋ｺﾞﾑ加工品販売</t>
    <rPh sb="0" eb="2">
      <t>トウヨウ</t>
    </rPh>
    <rPh sb="5" eb="8">
      <t>カコウヒン</t>
    </rPh>
    <rPh sb="8" eb="10">
      <t>ハンバイ</t>
    </rPh>
    <phoneticPr fontId="1"/>
  </si>
  <si>
    <t>東豊商事</t>
    <rPh sb="0" eb="1">
      <t>トウ</t>
    </rPh>
    <rPh sb="1" eb="2">
      <t>ホウ</t>
    </rPh>
    <rPh sb="2" eb="4">
      <t>ショウジ</t>
    </rPh>
    <phoneticPr fontId="1"/>
  </si>
  <si>
    <t>銅山川上水道管工事</t>
    <rPh sb="0" eb="2">
      <t>ドウザン</t>
    </rPh>
    <rPh sb="2" eb="4">
      <t>カワカミ</t>
    </rPh>
    <rPh sb="4" eb="7">
      <t>スイドウカン</t>
    </rPh>
    <rPh sb="7" eb="9">
      <t>コウジ</t>
    </rPh>
    <phoneticPr fontId="1"/>
  </si>
  <si>
    <t>ｸﾘｴｲﾄ㈱</t>
    <phoneticPr fontId="1"/>
  </si>
  <si>
    <t>ﾄﾗｽｺ</t>
  </si>
  <si>
    <t>中山機工ﾌｧｲﾘﾝｸﾞ</t>
    <rPh sb="0" eb="2">
      <t>ナカヤマ</t>
    </rPh>
    <rPh sb="2" eb="4">
      <t>キコウ</t>
    </rPh>
    <phoneticPr fontId="1"/>
  </si>
  <si>
    <t>仲啓</t>
    <rPh sb="0" eb="1">
      <t>ナカ</t>
    </rPh>
    <rPh sb="1" eb="2">
      <t>ケイ</t>
    </rPh>
    <phoneticPr fontId="1"/>
  </si>
  <si>
    <t>ﾅｶﾀﾆ</t>
    <phoneticPr fontId="1"/>
  </si>
  <si>
    <t>JFE</t>
  </si>
  <si>
    <t>日新販売</t>
    <rPh sb="0" eb="2">
      <t>ニッシン</t>
    </rPh>
    <rPh sb="2" eb="4">
      <t>ハンバイ</t>
    </rPh>
    <phoneticPr fontId="1"/>
  </si>
  <si>
    <t>ﾀｸﾐﾅ</t>
    <phoneticPr fontId="1"/>
  </si>
  <si>
    <t>二幸送風機</t>
    <rPh sb="0" eb="1">
      <t>ニ</t>
    </rPh>
    <rPh sb="1" eb="2">
      <t>コウ</t>
    </rPh>
    <rPh sb="2" eb="5">
      <t>ソウフウキ</t>
    </rPh>
    <phoneticPr fontId="1"/>
  </si>
  <si>
    <t>日新工業所</t>
    <rPh sb="0" eb="2">
      <t>ニッシン</t>
    </rPh>
    <rPh sb="2" eb="5">
      <t>コウギョウショ</t>
    </rPh>
    <phoneticPr fontId="1"/>
  </si>
  <si>
    <t>日本工業刃物</t>
    <rPh sb="0" eb="2">
      <t>ニホン</t>
    </rPh>
    <rPh sb="2" eb="4">
      <t>コウギョウ</t>
    </rPh>
    <rPh sb="4" eb="6">
      <t>ハモノ</t>
    </rPh>
    <phoneticPr fontId="1"/>
  </si>
  <si>
    <t>日成ﾋﾞﾙﾄﾞ工業</t>
    <rPh sb="0" eb="2">
      <t>ニッセイ</t>
    </rPh>
    <rPh sb="7" eb="9">
      <t>コウギョウ</t>
    </rPh>
    <phoneticPr fontId="1"/>
  </si>
  <si>
    <t>ｽﾘｰｴﾑ工業</t>
    <rPh sb="5" eb="7">
      <t>コウギョウ</t>
    </rPh>
    <phoneticPr fontId="1"/>
  </si>
  <si>
    <t>光伝導機</t>
    <rPh sb="0" eb="1">
      <t>ヒカリ</t>
    </rPh>
    <rPh sb="1" eb="2">
      <t>デン</t>
    </rPh>
    <rPh sb="2" eb="3">
      <t>ドウ</t>
    </rPh>
    <rPh sb="3" eb="4">
      <t>キ</t>
    </rPh>
    <phoneticPr fontId="1"/>
  </si>
  <si>
    <t>楽市産業</t>
    <rPh sb="0" eb="2">
      <t>ラクイチ</t>
    </rPh>
    <rPh sb="2" eb="4">
      <t>サンギョウ</t>
    </rPh>
    <phoneticPr fontId="1"/>
  </si>
  <si>
    <t>三伸工業</t>
    <rPh sb="0" eb="2">
      <t>サンシン</t>
    </rPh>
    <rPh sb="2" eb="4">
      <t>コウギョウ</t>
    </rPh>
    <phoneticPr fontId="1"/>
  </si>
  <si>
    <t>ﾌﾀﾊﾞ商会</t>
    <rPh sb="4" eb="6">
      <t>ショウカイ</t>
    </rPh>
    <phoneticPr fontId="1"/>
  </si>
  <si>
    <t>㈱ﾌﾀﾊﾞ</t>
    <phoneticPr fontId="1"/>
  </si>
  <si>
    <t>扶桑建設工業</t>
    <rPh sb="0" eb="2">
      <t>フソウ</t>
    </rPh>
    <rPh sb="2" eb="4">
      <t>ケンセツ</t>
    </rPh>
    <rPh sb="4" eb="6">
      <t>コウギョウ</t>
    </rPh>
    <phoneticPr fontId="1"/>
  </si>
  <si>
    <t>ﾐﾕｷｼｽﾃﾑｻｰﾋﾞｽ</t>
    <phoneticPr fontId="1"/>
  </si>
  <si>
    <t>ﾏﾙｷﾝ</t>
  </si>
  <si>
    <t>ﾏｲﾌﾚﾝﾄﾞ</t>
    <phoneticPr fontId="1"/>
  </si>
  <si>
    <t>ﾆｯﾀﾃｸﾉｿﾘｭｰｼｮﾝｽﾞ</t>
  </si>
  <si>
    <t>丸菱商店</t>
    <rPh sb="0" eb="2">
      <t>マルビシ</t>
    </rPh>
    <rPh sb="2" eb="4">
      <t>ショウテン</t>
    </rPh>
    <phoneticPr fontId="1"/>
  </si>
  <si>
    <t>丸正</t>
    <rPh sb="0" eb="1">
      <t>マル</t>
    </rPh>
    <rPh sb="1" eb="2">
      <t>ショウ</t>
    </rPh>
    <phoneticPr fontId="1"/>
  </si>
  <si>
    <t>ﾏﾂﾓﾄ産業</t>
    <rPh sb="4" eb="6">
      <t>サンギョウ</t>
    </rPh>
    <phoneticPr fontId="1"/>
  </si>
  <si>
    <t>丸一鋼販</t>
    <rPh sb="0" eb="1">
      <t>マル</t>
    </rPh>
    <rPh sb="1" eb="2">
      <t>イチ</t>
    </rPh>
    <rPh sb="2" eb="3">
      <t>コウ</t>
    </rPh>
    <rPh sb="3" eb="4">
      <t>ハン</t>
    </rPh>
    <phoneticPr fontId="1"/>
  </si>
  <si>
    <t>三星商事</t>
    <rPh sb="0" eb="2">
      <t>ミツボシ</t>
    </rPh>
    <rPh sb="2" eb="4">
      <t>ショウジ</t>
    </rPh>
    <phoneticPr fontId="1"/>
  </si>
  <si>
    <t>南出ｷｶｲ</t>
    <rPh sb="0" eb="2">
      <t>ミナミデ</t>
    </rPh>
    <phoneticPr fontId="1"/>
  </si>
  <si>
    <t>南田線材</t>
    <rPh sb="0" eb="2">
      <t>ミナミダ</t>
    </rPh>
    <rPh sb="2" eb="4">
      <t>センザイ</t>
    </rPh>
    <phoneticPr fontId="1"/>
  </si>
  <si>
    <t>三笠鋲螺</t>
    <rPh sb="0" eb="4">
      <t>ミカサビョウラ</t>
    </rPh>
    <phoneticPr fontId="1"/>
  </si>
  <si>
    <t>広洋ｻｰﾋﾞｽ</t>
    <rPh sb="0" eb="2">
      <t>コウヨウ</t>
    </rPh>
    <phoneticPr fontId="1"/>
  </si>
  <si>
    <t>三幸鋼材</t>
    <rPh sb="0" eb="1">
      <t>サン</t>
    </rPh>
    <rPh sb="1" eb="2">
      <t>コウ</t>
    </rPh>
    <rPh sb="2" eb="4">
      <t>コウザイ</t>
    </rPh>
    <phoneticPr fontId="1"/>
  </si>
  <si>
    <t>三重重工業</t>
    <rPh sb="0" eb="2">
      <t>ミエ</t>
    </rPh>
    <rPh sb="2" eb="5">
      <t>ジュウコウギョウ</t>
    </rPh>
    <phoneticPr fontId="1"/>
  </si>
  <si>
    <t>ｼﾞｬｽﾃｨﾝ</t>
  </si>
  <si>
    <t>明和ｺﾞﾑ工業</t>
    <rPh sb="0" eb="2">
      <t>メイワ</t>
    </rPh>
    <rPh sb="5" eb="7">
      <t>コウギョウ</t>
    </rPh>
    <phoneticPr fontId="1"/>
  </si>
  <si>
    <t>森実機工㈱</t>
    <rPh sb="0" eb="4">
      <t>モリザネキコウ</t>
    </rPh>
    <phoneticPr fontId="1"/>
  </si>
  <si>
    <t>山下金物店</t>
    <rPh sb="0" eb="2">
      <t>ヤマシタ</t>
    </rPh>
    <rPh sb="2" eb="4">
      <t>カナモノ</t>
    </rPh>
    <rPh sb="4" eb="5">
      <t>テン</t>
    </rPh>
    <phoneticPr fontId="1"/>
  </si>
  <si>
    <t>積水化学工業㈱</t>
    <rPh sb="0" eb="2">
      <t>セキスイ</t>
    </rPh>
    <rPh sb="2" eb="4">
      <t>カガク</t>
    </rPh>
    <rPh sb="4" eb="6">
      <t>コウギョウ</t>
    </rPh>
    <phoneticPr fontId="1"/>
  </si>
  <si>
    <t>三益成型</t>
    <rPh sb="0" eb="2">
      <t>サンエキ</t>
    </rPh>
    <rPh sb="2" eb="4">
      <t>セイケイ</t>
    </rPh>
    <phoneticPr fontId="1"/>
  </si>
  <si>
    <t>山善</t>
    <rPh sb="0" eb="1">
      <t>ヤマ</t>
    </rPh>
    <rPh sb="1" eb="2">
      <t>ゼン</t>
    </rPh>
    <phoneticPr fontId="1"/>
  </si>
  <si>
    <t>山下研磨店</t>
    <rPh sb="0" eb="2">
      <t>ヤマシタ</t>
    </rPh>
    <rPh sb="2" eb="4">
      <t>ケンマ</t>
    </rPh>
    <rPh sb="4" eb="5">
      <t>テン</t>
    </rPh>
    <phoneticPr fontId="1"/>
  </si>
  <si>
    <t>YUASA</t>
    <phoneticPr fontId="1"/>
  </si>
  <si>
    <t>ｶﾜｼﾀ</t>
    <phoneticPr fontId="1"/>
  </si>
  <si>
    <t>横井鋼業</t>
    <rPh sb="0" eb="2">
      <t>ヨコイ</t>
    </rPh>
    <rPh sb="2" eb="4">
      <t>コウギョウ</t>
    </rPh>
    <phoneticPr fontId="1"/>
  </si>
  <si>
    <t>和田ｵｰﾄﾏﾁｯｸｽ</t>
    <rPh sb="0" eb="2">
      <t>ワダ</t>
    </rPh>
    <phoneticPr fontId="1"/>
  </si>
  <si>
    <t>昭和工業所</t>
    <rPh sb="0" eb="2">
      <t>ショウワ</t>
    </rPh>
    <rPh sb="2" eb="4">
      <t>コウギョウ</t>
    </rPh>
    <rPh sb="4" eb="5">
      <t>ショ</t>
    </rPh>
    <phoneticPr fontId="1"/>
  </si>
  <si>
    <t>渡辺研磨商会</t>
    <rPh sb="0" eb="2">
      <t>ワタナベ</t>
    </rPh>
    <rPh sb="2" eb="4">
      <t>ケンマ</t>
    </rPh>
    <rPh sb="4" eb="6">
      <t>ショウカイ</t>
    </rPh>
    <phoneticPr fontId="1"/>
  </si>
  <si>
    <t>渡辺商会</t>
    <rPh sb="0" eb="4">
      <t>ワタナベショウカイ</t>
    </rPh>
    <phoneticPr fontId="1"/>
  </si>
  <si>
    <t>内田石油</t>
    <rPh sb="0" eb="2">
      <t>ウチダ</t>
    </rPh>
    <rPh sb="2" eb="4">
      <t>セキユ</t>
    </rPh>
    <phoneticPr fontId="1"/>
  </si>
  <si>
    <t>三共石油</t>
    <rPh sb="0" eb="2">
      <t>サンキョウ</t>
    </rPh>
    <rPh sb="2" eb="4">
      <t>セキユ</t>
    </rPh>
    <phoneticPr fontId="1"/>
  </si>
  <si>
    <t>丸和　石油</t>
    <rPh sb="0" eb="2">
      <t>マルワ</t>
    </rPh>
    <rPh sb="3" eb="5">
      <t>セキユ</t>
    </rPh>
    <phoneticPr fontId="1"/>
  </si>
  <si>
    <t>外山文具店</t>
    <rPh sb="0" eb="2">
      <t>トヤマ</t>
    </rPh>
    <rPh sb="2" eb="4">
      <t>ブング</t>
    </rPh>
    <rPh sb="4" eb="5">
      <t>テン</t>
    </rPh>
    <phoneticPr fontId="1"/>
  </si>
  <si>
    <t>出雲鋼管</t>
    <rPh sb="0" eb="2">
      <t>イズモ</t>
    </rPh>
    <rPh sb="2" eb="4">
      <t>コウカン</t>
    </rPh>
    <phoneticPr fontId="1"/>
  </si>
  <si>
    <t>井関建材</t>
    <rPh sb="0" eb="2">
      <t>イセキ</t>
    </rPh>
    <rPh sb="2" eb="4">
      <t>ケンザイ</t>
    </rPh>
    <phoneticPr fontId="1"/>
  </si>
  <si>
    <t>ｽﾌﾟﾚｰｲﾝｸﾞｼｽﾃﾑｼﾞｬﾊﾟﾝ</t>
    <phoneticPr fontId="1"/>
  </si>
  <si>
    <t>静電舎電子工業</t>
    <rPh sb="0" eb="2">
      <t>セイデン</t>
    </rPh>
    <rPh sb="2" eb="3">
      <t>シャ</t>
    </rPh>
    <rPh sb="3" eb="5">
      <t>デンシ</t>
    </rPh>
    <rPh sb="5" eb="7">
      <t>コウギョウ</t>
    </rPh>
    <phoneticPr fontId="1"/>
  </si>
  <si>
    <t>ﾀｶﾗｽﾀﾝﾀﾞｰﾄﾞ</t>
    <phoneticPr fontId="1"/>
  </si>
  <si>
    <t>小笠原工業所</t>
    <rPh sb="0" eb="3">
      <t>オガサワラ</t>
    </rPh>
    <rPh sb="3" eb="5">
      <t>コウギョウ</t>
    </rPh>
    <rPh sb="5" eb="6">
      <t>ショ</t>
    </rPh>
    <phoneticPr fontId="1"/>
  </si>
  <si>
    <t>三島鍍金工業所</t>
    <rPh sb="0" eb="2">
      <t>ミシマ</t>
    </rPh>
    <rPh sb="2" eb="4">
      <t>メッキ</t>
    </rPh>
    <rPh sb="4" eb="6">
      <t>コウギョウ</t>
    </rPh>
    <rPh sb="6" eb="7">
      <t>ショ</t>
    </rPh>
    <phoneticPr fontId="1"/>
  </si>
  <si>
    <t>丸八ﾎﾟﾝﾌﾟ</t>
    <rPh sb="0" eb="2">
      <t>マルハチ</t>
    </rPh>
    <phoneticPr fontId="1"/>
  </si>
  <si>
    <t>島産業</t>
    <rPh sb="0" eb="1">
      <t>シマ</t>
    </rPh>
    <rPh sb="1" eb="3">
      <t>サンギョウ</t>
    </rPh>
    <phoneticPr fontId="1"/>
  </si>
  <si>
    <t>ｹﾐﾃｯｸ四国</t>
    <rPh sb="5" eb="7">
      <t>シコク</t>
    </rPh>
    <phoneticPr fontId="1"/>
  </si>
  <si>
    <t>藤田工業</t>
    <rPh sb="0" eb="2">
      <t>フジタ</t>
    </rPh>
    <rPh sb="2" eb="4">
      <t>コウギョウ</t>
    </rPh>
    <phoneticPr fontId="1"/>
  </si>
  <si>
    <t>丸井産業</t>
    <rPh sb="0" eb="2">
      <t>マルイ</t>
    </rPh>
    <rPh sb="2" eb="4">
      <t>サンギョウ</t>
    </rPh>
    <phoneticPr fontId="1"/>
  </si>
  <si>
    <t>高橋工業</t>
    <rPh sb="0" eb="2">
      <t>タカハシ</t>
    </rPh>
    <rPh sb="2" eb="4">
      <t>コウギョウ</t>
    </rPh>
    <phoneticPr fontId="1"/>
  </si>
  <si>
    <t>ﾆｭｰﾛﾝｸﾞ</t>
    <phoneticPr fontId="1"/>
  </si>
  <si>
    <t>ﾊﾞｼﾒｯｸｽ</t>
    <phoneticPr fontId="1"/>
  </si>
  <si>
    <t>正和商事</t>
    <rPh sb="0" eb="2">
      <t>ショウワ</t>
    </rPh>
    <rPh sb="2" eb="4">
      <t>ショウジ</t>
    </rPh>
    <phoneticPr fontId="1"/>
  </si>
  <si>
    <t>ｾﾞﾈﾗﾙﾎﾞﾝﾄﾞ</t>
  </si>
  <si>
    <t>三協製作所</t>
    <rPh sb="0" eb="2">
      <t>サンキョウ</t>
    </rPh>
    <rPh sb="2" eb="5">
      <t>セイサクショ</t>
    </rPh>
    <phoneticPr fontId="1"/>
  </si>
  <si>
    <t>第一ﾒﾃｺ</t>
    <rPh sb="0" eb="2">
      <t>ダイイチ</t>
    </rPh>
    <phoneticPr fontId="1"/>
  </si>
  <si>
    <t>河村板金工業</t>
    <rPh sb="0" eb="2">
      <t>カワムラ</t>
    </rPh>
    <rPh sb="2" eb="4">
      <t>バンキン</t>
    </rPh>
    <rPh sb="4" eb="6">
      <t>コウギョウ</t>
    </rPh>
    <phoneticPr fontId="1"/>
  </si>
  <si>
    <t>佐渡島</t>
    <rPh sb="0" eb="2">
      <t>サト</t>
    </rPh>
    <rPh sb="2" eb="3">
      <t>シマ</t>
    </rPh>
    <phoneticPr fontId="1"/>
  </si>
  <si>
    <t>四国ｸﾎﾞﾀ建機</t>
    <rPh sb="0" eb="2">
      <t>シコク</t>
    </rPh>
    <rPh sb="6" eb="8">
      <t>ケンキ</t>
    </rPh>
    <phoneticPr fontId="1"/>
  </si>
  <si>
    <t>ｺｽﾓ工機</t>
    <rPh sb="3" eb="5">
      <t>コウキ</t>
    </rPh>
    <phoneticPr fontId="1"/>
  </si>
  <si>
    <t>ｶﾞﾙﾊﾞ興業</t>
    <rPh sb="5" eb="7">
      <t>コウギョウ</t>
    </rPh>
    <phoneticPr fontId="1"/>
  </si>
  <si>
    <t>ｵｰﾋﾞｽﾅｶﾊﾏ</t>
    <phoneticPr fontId="1"/>
  </si>
  <si>
    <t>ｵｰｴﾇ工業株式会社</t>
    <rPh sb="4" eb="6">
      <t>コウギョウ</t>
    </rPh>
    <rPh sb="6" eb="10">
      <t>カブシキガイシャ</t>
    </rPh>
    <phoneticPr fontId="1"/>
  </si>
  <si>
    <t>ﾏﾂﾓ産業</t>
    <rPh sb="3" eb="5">
      <t>サンギョウ</t>
    </rPh>
    <phoneticPr fontId="1"/>
  </si>
  <si>
    <t>日本電産ｼﾝﾎﾟ</t>
    <rPh sb="0" eb="2">
      <t>ニホン</t>
    </rPh>
    <rPh sb="2" eb="4">
      <t>デンサン</t>
    </rPh>
    <phoneticPr fontId="1"/>
  </si>
  <si>
    <t>ﾂﾂｲ</t>
    <phoneticPr fontId="1"/>
  </si>
  <si>
    <t>ｱｲﾃｯｸ</t>
  </si>
  <si>
    <t>ｷｬﾌﾟﾃﾝｲﾝﾀﾞｽﾄﾘｰｽﾞ</t>
    <phoneticPr fontId="1"/>
  </si>
  <si>
    <t>㈱伸興</t>
    <rPh sb="1" eb="3">
      <t>シンコウ</t>
    </rPh>
    <phoneticPr fontId="1"/>
  </si>
  <si>
    <t>See Block</t>
    <phoneticPr fontId="1"/>
  </si>
  <si>
    <t>日東ｴﾙﾏﾃﾘｱﾙ</t>
    <rPh sb="0" eb="2">
      <t>ニットウ</t>
    </rPh>
    <phoneticPr fontId="1"/>
  </si>
  <si>
    <t>ﾌﾞﾘﾁﾞｽﾄﾝ化工品ｼﾞｬﾊﾟﾝ</t>
  </si>
  <si>
    <t>ｺﾎﾞﾘ</t>
  </si>
  <si>
    <t>ﾀﾂﾀ</t>
  </si>
  <si>
    <t>㈱ﾅｼﾞｺ</t>
    <phoneticPr fontId="1"/>
  </si>
  <si>
    <t>㈱ｺﾛﾅ</t>
    <phoneticPr fontId="1"/>
  </si>
  <si>
    <t>ｱｶｷﾞ</t>
  </si>
  <si>
    <t>小澤物産㈱</t>
    <rPh sb="0" eb="2">
      <t>オザワ</t>
    </rPh>
    <rPh sb="2" eb="4">
      <t>ブッサン</t>
    </rPh>
    <phoneticPr fontId="1"/>
  </si>
  <si>
    <t>成光産業</t>
    <rPh sb="0" eb="2">
      <t>セイコウ</t>
    </rPh>
    <rPh sb="2" eb="4">
      <t>サンギョウ</t>
    </rPh>
    <phoneticPr fontId="1"/>
  </si>
  <si>
    <t>高知歯車</t>
    <rPh sb="0" eb="2">
      <t>コウチ</t>
    </rPh>
    <rPh sb="2" eb="4">
      <t>ハグルマ</t>
    </rPh>
    <phoneticPr fontId="1"/>
  </si>
  <si>
    <t>雑仕入</t>
    <rPh sb="0" eb="1">
      <t>ザツ</t>
    </rPh>
    <rPh sb="1" eb="3">
      <t>シイレ</t>
    </rPh>
    <phoneticPr fontId="1"/>
  </si>
  <si>
    <t>川江技研</t>
    <rPh sb="0" eb="1">
      <t>カワ</t>
    </rPh>
    <rPh sb="1" eb="2">
      <t>エ</t>
    </rPh>
    <rPh sb="2" eb="4">
      <t>ギケン</t>
    </rPh>
    <phoneticPr fontId="1"/>
  </si>
  <si>
    <t>ﾕｰｹﾞﾙ化学工業</t>
    <rPh sb="5" eb="7">
      <t>カガク</t>
    </rPh>
    <rPh sb="7" eb="9">
      <t>コウギョウ</t>
    </rPh>
    <phoneticPr fontId="1"/>
  </si>
  <si>
    <t>ｱﾏﾀﾞﾒﾄﾚｯｸｽ</t>
    <phoneticPr fontId="1"/>
  </si>
  <si>
    <t>東神物産㈱</t>
    <rPh sb="0" eb="2">
      <t>トウシン</t>
    </rPh>
    <rPh sb="2" eb="4">
      <t>ブッサン</t>
    </rPh>
    <phoneticPr fontId="1"/>
  </si>
  <si>
    <t>谷口金属熱処理工業所</t>
    <rPh sb="0" eb="2">
      <t>タニグチ</t>
    </rPh>
    <rPh sb="2" eb="4">
      <t>キンゾク</t>
    </rPh>
    <rPh sb="4" eb="7">
      <t>ネツショリ</t>
    </rPh>
    <rPh sb="7" eb="9">
      <t>コウギョウ</t>
    </rPh>
    <rPh sb="9" eb="10">
      <t>ショ</t>
    </rPh>
    <phoneticPr fontId="1"/>
  </si>
  <si>
    <t>ﾕﾀﾆ</t>
    <phoneticPr fontId="1"/>
  </si>
  <si>
    <t>三木商店</t>
    <rPh sb="0" eb="2">
      <t>ミキ</t>
    </rPh>
    <rPh sb="2" eb="4">
      <t>ショウテン</t>
    </rPh>
    <phoneticPr fontId="1"/>
  </si>
  <si>
    <t>三浦工業</t>
    <rPh sb="0" eb="2">
      <t>ミウラ</t>
    </rPh>
    <rPh sb="2" eb="4">
      <t>コウギョウ</t>
    </rPh>
    <phoneticPr fontId="1"/>
  </si>
  <si>
    <t>丸山製作所</t>
    <rPh sb="0" eb="2">
      <t>マルヤマ</t>
    </rPh>
    <rPh sb="2" eb="5">
      <t>セイサクショ</t>
    </rPh>
    <phoneticPr fontId="1"/>
  </si>
  <si>
    <t>久門製作所</t>
    <rPh sb="0" eb="2">
      <t>クモン</t>
    </rPh>
    <rPh sb="2" eb="5">
      <t>セイサクショ</t>
    </rPh>
    <phoneticPr fontId="1"/>
  </si>
  <si>
    <t>佐藤商事</t>
    <rPh sb="0" eb="2">
      <t>サトウ</t>
    </rPh>
    <rPh sb="2" eb="4">
      <t>ショウジ</t>
    </rPh>
    <phoneticPr fontId="1"/>
  </si>
  <si>
    <t>ｽﾄﾗﾊﾟｯｸ</t>
    <phoneticPr fontId="1"/>
  </si>
  <si>
    <t>日鉄物産</t>
    <rPh sb="0" eb="2">
      <t>ニッテツ</t>
    </rPh>
    <rPh sb="2" eb="4">
      <t>ブッサン</t>
    </rPh>
    <phoneticPr fontId="1"/>
  </si>
  <si>
    <t>和泉興業</t>
    <rPh sb="0" eb="2">
      <t>イズミ</t>
    </rPh>
    <rPh sb="2" eb="4">
      <t>コウギョウ</t>
    </rPh>
    <phoneticPr fontId="1"/>
  </si>
  <si>
    <t>ｻﾝﾊﾟﾜｰｽﾞ</t>
    <phoneticPr fontId="1"/>
  </si>
  <si>
    <t>四国三菱電機販売</t>
    <rPh sb="0" eb="2">
      <t>シコク</t>
    </rPh>
    <rPh sb="2" eb="4">
      <t>ミツビシ</t>
    </rPh>
    <rPh sb="4" eb="6">
      <t>デンキ</t>
    </rPh>
    <rPh sb="6" eb="8">
      <t>ハンバイ</t>
    </rPh>
    <phoneticPr fontId="1"/>
  </si>
  <si>
    <t>日伝</t>
    <rPh sb="0" eb="2">
      <t>ニチデン</t>
    </rPh>
    <phoneticPr fontId="1"/>
  </si>
  <si>
    <t>積水ﾎｰﾑﾃｸﾉ</t>
    <rPh sb="0" eb="2">
      <t>セキスイ</t>
    </rPh>
    <phoneticPr fontId="1"/>
  </si>
  <si>
    <t>大洋製器</t>
    <rPh sb="0" eb="2">
      <t>タイヨウ</t>
    </rPh>
    <rPh sb="2" eb="4">
      <t>セイキ</t>
    </rPh>
    <phoneticPr fontId="1"/>
  </si>
  <si>
    <t>石川工作所</t>
    <rPh sb="0" eb="2">
      <t>イシカワ</t>
    </rPh>
    <rPh sb="2" eb="5">
      <t>コウサクショ</t>
    </rPh>
    <phoneticPr fontId="1"/>
  </si>
  <si>
    <t>石川ﾃﾝﾄ</t>
    <rPh sb="0" eb="2">
      <t>イシカワ</t>
    </rPh>
    <phoneticPr fontId="1"/>
  </si>
  <si>
    <t>本田洋行</t>
    <rPh sb="0" eb="2">
      <t>ホンダ</t>
    </rPh>
    <rPh sb="2" eb="4">
      <t>ヨウコウ</t>
    </rPh>
    <phoneticPr fontId="1"/>
  </si>
  <si>
    <t>石川住建</t>
    <rPh sb="0" eb="2">
      <t>イシカワ</t>
    </rPh>
    <rPh sb="2" eb="4">
      <t>ジュウケン</t>
    </rPh>
    <phoneticPr fontId="1"/>
  </si>
  <si>
    <t>ﾀｶﾊｼｻｰﾋﾞｽ機器</t>
    <rPh sb="9" eb="11">
      <t>キキ</t>
    </rPh>
    <phoneticPr fontId="1"/>
  </si>
  <si>
    <t>㈲日吉鉄工所</t>
    <rPh sb="1" eb="2">
      <t>ニチ</t>
    </rPh>
    <rPh sb="2" eb="3">
      <t>ヨシ</t>
    </rPh>
    <rPh sb="3" eb="6">
      <t>テッコウショ</t>
    </rPh>
    <phoneticPr fontId="1"/>
  </si>
  <si>
    <t>荏原製作所</t>
    <rPh sb="0" eb="5">
      <t>エバラセイサクショ</t>
    </rPh>
    <phoneticPr fontId="1"/>
  </si>
  <si>
    <t>関野ｴﾝｼﾞﾆｱﾘﾝｸﾞ</t>
    <rPh sb="0" eb="2">
      <t>セキノ</t>
    </rPh>
    <phoneticPr fontId="1"/>
  </si>
  <si>
    <t>ｻﾝｺｰｲﾝﾀﾞｽﾄﾘｰ</t>
  </si>
  <si>
    <t>ﾀｲﾖｳ</t>
    <phoneticPr fontId="1"/>
  </si>
  <si>
    <t>青木工業刃物</t>
    <rPh sb="0" eb="2">
      <t>アオキ</t>
    </rPh>
    <rPh sb="2" eb="4">
      <t>コウギョウ</t>
    </rPh>
    <rPh sb="4" eb="6">
      <t>ハモノ</t>
    </rPh>
    <phoneticPr fontId="1"/>
  </si>
  <si>
    <t>ﾐﾔﾜｷ</t>
    <phoneticPr fontId="1"/>
  </si>
  <si>
    <t>東洋精機工業</t>
    <rPh sb="0" eb="2">
      <t>トウヨウ</t>
    </rPh>
    <rPh sb="2" eb="4">
      <t>セイキ</t>
    </rPh>
    <rPh sb="4" eb="6">
      <t>コウギョウ</t>
    </rPh>
    <phoneticPr fontId="1"/>
  </si>
  <si>
    <t>ｱｰｽ通商</t>
    <rPh sb="3" eb="5">
      <t>ツウショウ</t>
    </rPh>
    <phoneticPr fontId="1"/>
  </si>
  <si>
    <t>ｱｽﾞﾋﾞﾙ</t>
    <phoneticPr fontId="1"/>
  </si>
  <si>
    <t>ｼｰﾙ工業</t>
    <rPh sb="3" eb="5">
      <t>コウギョウ</t>
    </rPh>
    <phoneticPr fontId="1"/>
  </si>
  <si>
    <t>朝日樹脂工業㈱</t>
    <rPh sb="0" eb="2">
      <t>アサヒ</t>
    </rPh>
    <rPh sb="2" eb="4">
      <t>ジュシ</t>
    </rPh>
    <rPh sb="4" eb="6">
      <t>コウギョウ</t>
    </rPh>
    <phoneticPr fontId="1"/>
  </si>
  <si>
    <t>ｲｱﾗｻｲｴﾝｽ㈱</t>
    <phoneticPr fontId="1"/>
  </si>
  <si>
    <t>仲洲ｴｱｰｻｰﾋﾞｽ</t>
    <rPh sb="0" eb="1">
      <t>ナカ</t>
    </rPh>
    <rPh sb="1" eb="2">
      <t>シュウ</t>
    </rPh>
    <phoneticPr fontId="1"/>
  </si>
  <si>
    <t>ｱﾏﾉ</t>
  </si>
  <si>
    <t>宇野㈱</t>
    <rPh sb="0" eb="2">
      <t>ウノ</t>
    </rPh>
    <phoneticPr fontId="1"/>
  </si>
  <si>
    <t>AGMｼﾞｬﾊﾟﾝ</t>
    <phoneticPr fontId="1"/>
  </si>
  <si>
    <t>Tomoeﾍﾞﾙﾄ</t>
  </si>
  <si>
    <t>ｱﾝﾘﾂ産機ｼｽﾃﾑ</t>
    <rPh sb="4" eb="6">
      <t>サンキ</t>
    </rPh>
    <phoneticPr fontId="1"/>
  </si>
  <si>
    <t>ﾉｰﾄﾞｿﾝ</t>
    <phoneticPr fontId="1"/>
  </si>
  <si>
    <t>ﾃｸﾉﾛｰﾙ㈱</t>
    <phoneticPr fontId="1"/>
  </si>
  <si>
    <t>㈲ﾔﾅｾ製油</t>
    <rPh sb="4" eb="6">
      <t>セイユ</t>
    </rPh>
    <phoneticPr fontId="1"/>
  </si>
  <si>
    <t>ｼﾞｬﾊﾟﾝﾏｼﾅﾘｰ</t>
    <phoneticPr fontId="1"/>
  </si>
  <si>
    <t>ｱｽﾞﾜﾝ</t>
    <phoneticPr fontId="1"/>
  </si>
  <si>
    <t>小松物産</t>
    <rPh sb="0" eb="2">
      <t>コマツ</t>
    </rPh>
    <rPh sb="2" eb="4">
      <t>ブッサン</t>
    </rPh>
    <phoneticPr fontId="1"/>
  </si>
  <si>
    <t>ﾌｼﾞﾀﾂｰﾙ</t>
    <phoneticPr fontId="1"/>
  </si>
  <si>
    <t>ｳﾒﾊﾗｴﾝｼﾞﾆｱﾘﾝｸﾞ</t>
    <phoneticPr fontId="1"/>
  </si>
  <si>
    <t>ｺﾝﾄﾞｰﾃｯｸ</t>
  </si>
  <si>
    <t>NASﾅｽﾗｯｸ</t>
    <phoneticPr fontId="1"/>
  </si>
  <si>
    <t>LIXILﾄｰﾀﾙｻｰﾋﾞｽ</t>
    <phoneticPr fontId="1"/>
  </si>
  <si>
    <t>東予ｴﾔｰ</t>
    <rPh sb="0" eb="2">
      <t>トウヨ</t>
    </rPh>
    <phoneticPr fontId="1"/>
  </si>
  <si>
    <t>SUS㈱</t>
    <phoneticPr fontId="1"/>
  </si>
  <si>
    <t>ﾎﾟﾊﾞｰﾙ興業</t>
    <rPh sb="6" eb="8">
      <t>コウギョウ</t>
    </rPh>
    <phoneticPr fontId="1"/>
  </si>
  <si>
    <t>ﾌｫｲﾄﾀｰﾎﾞBTG事業所</t>
    <rPh sb="11" eb="14">
      <t>ジギョウショ</t>
    </rPh>
    <phoneticPr fontId="1"/>
  </si>
  <si>
    <t>ｸﾞﾘｰﾝﾂｰﾙ</t>
    <phoneticPr fontId="1"/>
  </si>
  <si>
    <t>田窪工業所</t>
    <rPh sb="0" eb="2">
      <t>タクボ</t>
    </rPh>
    <rPh sb="2" eb="5">
      <t>コウギョウショ</t>
    </rPh>
    <phoneticPr fontId="1"/>
  </si>
  <si>
    <t>四国資材</t>
    <rPh sb="0" eb="2">
      <t>シコク</t>
    </rPh>
    <rPh sb="2" eb="4">
      <t>シザイ</t>
    </rPh>
    <phoneticPr fontId="1"/>
  </si>
  <si>
    <t>日本ﾒｸﾏﾝ</t>
    <rPh sb="0" eb="2">
      <t>ニホン</t>
    </rPh>
    <phoneticPr fontId="1"/>
  </si>
  <si>
    <t>興國ｺﾝｸﾘｰﾄ</t>
    <rPh sb="0" eb="1">
      <t>コウ</t>
    </rPh>
    <rPh sb="1" eb="2">
      <t>コク</t>
    </rPh>
    <phoneticPr fontId="1"/>
  </si>
  <si>
    <t>新和ﾈｸｻｽ</t>
    <rPh sb="0" eb="2">
      <t>シンワ</t>
    </rPh>
    <phoneticPr fontId="1"/>
  </si>
  <si>
    <t>ｴｰ･ｴｽ･ｼﾞｰ</t>
    <phoneticPr fontId="1"/>
  </si>
  <si>
    <t>安藤㈱</t>
    <rPh sb="0" eb="2">
      <t>アンドウ</t>
    </rPh>
    <phoneticPr fontId="1"/>
  </si>
  <si>
    <t>㈱ｱｻﾋ</t>
    <phoneticPr fontId="1"/>
  </si>
  <si>
    <t>ﾅｽﾗｯｸ</t>
    <phoneticPr fontId="1"/>
  </si>
  <si>
    <t>ﾏｰｹﾑ･ｲﾏｰｼﾞｭ㈱</t>
    <phoneticPr fontId="1"/>
  </si>
  <si>
    <t>ｸﾞﾝｾﾞ㈱</t>
    <phoneticPr fontId="1"/>
  </si>
  <si>
    <t>大一商会</t>
    <rPh sb="0" eb="2">
      <t>ダイイチ</t>
    </rPh>
    <rPh sb="2" eb="4">
      <t>ショウカイ</t>
    </rPh>
    <phoneticPr fontId="1"/>
  </si>
  <si>
    <t>ﾏｷﾃｯｸ</t>
  </si>
  <si>
    <t>三橋製作所</t>
    <rPh sb="0" eb="2">
      <t>ミツハシ</t>
    </rPh>
    <rPh sb="2" eb="5">
      <t>セイサクショ</t>
    </rPh>
    <phoneticPr fontId="1"/>
  </si>
  <si>
    <t>森定興商㈱</t>
    <rPh sb="0" eb="2">
      <t>モリサダ</t>
    </rPh>
    <rPh sb="2" eb="4">
      <t>コウショウ</t>
    </rPh>
    <phoneticPr fontId="1"/>
  </si>
  <si>
    <t>丸紅ｴﾚﾈｸｽﾄ</t>
    <rPh sb="0" eb="2">
      <t>マルベニ</t>
    </rPh>
    <phoneticPr fontId="1"/>
  </si>
  <si>
    <t>ｺｽﾓ計器</t>
    <rPh sb="3" eb="5">
      <t>ケイキ</t>
    </rPh>
    <phoneticPr fontId="1"/>
  </si>
  <si>
    <t>大阪FST</t>
    <rPh sb="0" eb="2">
      <t>オオサカ</t>
    </rPh>
    <phoneticPr fontId="1"/>
  </si>
  <si>
    <t>日本精密㈱</t>
    <rPh sb="0" eb="2">
      <t>ニホン</t>
    </rPh>
    <rPh sb="2" eb="4">
      <t>セイミツ</t>
    </rPh>
    <phoneticPr fontId="1"/>
  </si>
  <si>
    <t>長府製作所</t>
    <rPh sb="0" eb="2">
      <t>チョウフ</t>
    </rPh>
    <rPh sb="2" eb="5">
      <t>セイサクショ</t>
    </rPh>
    <phoneticPr fontId="1"/>
  </si>
  <si>
    <t>㈱ｻﾄｰ</t>
    <phoneticPr fontId="1"/>
  </si>
  <si>
    <t>信和機工</t>
    <rPh sb="0" eb="2">
      <t>シンワ</t>
    </rPh>
    <rPh sb="2" eb="4">
      <t>キコウ</t>
    </rPh>
    <phoneticPr fontId="1"/>
  </si>
  <si>
    <t>ﾕﾆｿﾙ(ｼﾞｰﾈｯﾄ)</t>
    <phoneticPr fontId="1"/>
  </si>
  <si>
    <t>ﾗｲﾄﾅｳ</t>
    <phoneticPr fontId="1"/>
  </si>
  <si>
    <t>ｲｼｸﾞﾛ</t>
    <phoneticPr fontId="1"/>
  </si>
  <si>
    <t>愛建電工</t>
    <rPh sb="0" eb="2">
      <t>アイケン</t>
    </rPh>
    <rPh sb="2" eb="4">
      <t>デンコウ</t>
    </rPh>
    <phoneticPr fontId="1"/>
  </si>
  <si>
    <t>伸光製作所</t>
    <rPh sb="0" eb="2">
      <t>シンコウ</t>
    </rPh>
    <rPh sb="2" eb="5">
      <t>セイサクショ</t>
    </rPh>
    <phoneticPr fontId="1"/>
  </si>
  <si>
    <t>総合開発</t>
    <rPh sb="0" eb="2">
      <t>ソウゴウ</t>
    </rPh>
    <rPh sb="2" eb="4">
      <t>カイハツ</t>
    </rPh>
    <phoneticPr fontId="1"/>
  </si>
  <si>
    <t>ﾕﾆｺﾝﾄﾛｰﾙ</t>
    <phoneticPr fontId="1"/>
  </si>
  <si>
    <t>ﾀｷｲ電器㈱</t>
    <rPh sb="3" eb="5">
      <t>デンキ</t>
    </rPh>
    <phoneticPr fontId="1"/>
  </si>
  <si>
    <t>ﾄﾖﾀL&amp;F</t>
    <phoneticPr fontId="1"/>
  </si>
  <si>
    <t>清水防災</t>
    <rPh sb="0" eb="2">
      <t>シミズ</t>
    </rPh>
    <rPh sb="2" eb="4">
      <t>ボウサイ</t>
    </rPh>
    <phoneticPr fontId="1"/>
  </si>
  <si>
    <t>ﾏｷｰ･ｴﾝｼﾞﾆｱﾘﾝｸﾞ</t>
    <phoneticPr fontId="1"/>
  </si>
  <si>
    <t>共栄電機工業所</t>
    <rPh sb="0" eb="2">
      <t>キョウエイ</t>
    </rPh>
    <rPh sb="2" eb="4">
      <t>デンキ</t>
    </rPh>
    <rPh sb="4" eb="6">
      <t>コウギョウ</t>
    </rPh>
    <rPh sb="6" eb="7">
      <t>ショ</t>
    </rPh>
    <phoneticPr fontId="1"/>
  </si>
  <si>
    <t>ﾄｰﾀｽｻｰﾋﾞｽ</t>
    <phoneticPr fontId="1"/>
  </si>
  <si>
    <t>紀州技研</t>
    <rPh sb="0" eb="2">
      <t>キシュウ</t>
    </rPh>
    <rPh sb="2" eb="4">
      <t>ギケン</t>
    </rPh>
    <phoneticPr fontId="1"/>
  </si>
  <si>
    <t>ｺﾞｰｸﾗ</t>
    <phoneticPr fontId="1"/>
  </si>
  <si>
    <t>ｿｰﾀﾞﾆｯｶ㈱</t>
    <phoneticPr fontId="1"/>
  </si>
  <si>
    <t>㈲HSｼｽﾃﾑ</t>
    <phoneticPr fontId="1"/>
  </si>
  <si>
    <t>KGKｴﾝｼﾞﾆｱﾘﾝｸﾞ</t>
    <phoneticPr fontId="1"/>
  </si>
  <si>
    <t>日進機械</t>
    <rPh sb="0" eb="2">
      <t>ニッシン</t>
    </rPh>
    <rPh sb="2" eb="4">
      <t>キカイ</t>
    </rPh>
    <phoneticPr fontId="1"/>
  </si>
  <si>
    <t>ﾀﾞｲﾌｸ</t>
    <phoneticPr fontId="1"/>
  </si>
  <si>
    <t>日本真空包装機械</t>
    <rPh sb="0" eb="2">
      <t>ニホン</t>
    </rPh>
    <rPh sb="2" eb="4">
      <t>シンクウ</t>
    </rPh>
    <rPh sb="4" eb="6">
      <t>ホウソウ</t>
    </rPh>
    <rPh sb="6" eb="8">
      <t>キカイ</t>
    </rPh>
    <phoneticPr fontId="1"/>
  </si>
  <si>
    <t>大原機械製作所</t>
    <rPh sb="0" eb="2">
      <t>オオハラ</t>
    </rPh>
    <rPh sb="2" eb="4">
      <t>キカイ</t>
    </rPh>
    <rPh sb="4" eb="7">
      <t>セイサクショ</t>
    </rPh>
    <phoneticPr fontId="1"/>
  </si>
  <si>
    <t>晃愛製作所</t>
    <rPh sb="0" eb="1">
      <t>コウ</t>
    </rPh>
    <rPh sb="1" eb="2">
      <t>アイ</t>
    </rPh>
    <rPh sb="2" eb="5">
      <t>セイサクショ</t>
    </rPh>
    <phoneticPr fontId="1"/>
  </si>
  <si>
    <t>秋山興業</t>
    <rPh sb="0" eb="2">
      <t>アキヤマ</t>
    </rPh>
    <rPh sb="2" eb="4">
      <t>コウギョウ</t>
    </rPh>
    <phoneticPr fontId="1"/>
  </si>
  <si>
    <t>協和鉄工所</t>
    <rPh sb="0" eb="2">
      <t>キョウワ</t>
    </rPh>
    <rPh sb="2" eb="5">
      <t>テッコウショ</t>
    </rPh>
    <phoneticPr fontId="1"/>
  </si>
  <si>
    <t>ﾏｼﾝﾃｯｸｽ</t>
    <phoneticPr fontId="1"/>
  </si>
  <si>
    <t>㈱新興</t>
    <rPh sb="1" eb="3">
      <t>シンコウ</t>
    </rPh>
    <phoneticPr fontId="1"/>
  </si>
  <si>
    <t>真正機械㈲</t>
    <rPh sb="0" eb="2">
      <t>シンセイ</t>
    </rPh>
    <rPh sb="2" eb="4">
      <t>キカイ</t>
    </rPh>
    <phoneticPr fontId="1"/>
  </si>
  <si>
    <t>井関電機</t>
    <rPh sb="0" eb="2">
      <t>イセキ</t>
    </rPh>
    <rPh sb="2" eb="4">
      <t>デンキ</t>
    </rPh>
    <phoneticPr fontId="1"/>
  </si>
  <si>
    <t>鈴木工作所</t>
    <rPh sb="0" eb="2">
      <t>スズキ</t>
    </rPh>
    <rPh sb="2" eb="4">
      <t>コウサク</t>
    </rPh>
    <rPh sb="4" eb="5">
      <t>ショ</t>
    </rPh>
    <phoneticPr fontId="1"/>
  </si>
  <si>
    <t>ﾏｷﾀ</t>
  </si>
  <si>
    <t>三洋電機商会</t>
    <rPh sb="0" eb="2">
      <t>サンヨウ</t>
    </rPh>
    <rPh sb="2" eb="4">
      <t>デンキ</t>
    </rPh>
    <rPh sb="4" eb="6">
      <t>ショウカイ</t>
    </rPh>
    <phoneticPr fontId="1"/>
  </si>
  <si>
    <t>荏原冷熱ｼｽﾃﾑ</t>
    <rPh sb="0" eb="2">
      <t>エバラ</t>
    </rPh>
    <rPh sb="2" eb="4">
      <t>レイネツ</t>
    </rPh>
    <phoneticPr fontId="1"/>
  </si>
  <si>
    <t>金陽社 関西事業部</t>
    <rPh sb="0" eb="1">
      <t>キン</t>
    </rPh>
    <rPh sb="1" eb="2">
      <t>ヨウ</t>
    </rPh>
    <rPh sb="2" eb="3">
      <t>シャ</t>
    </rPh>
    <rPh sb="4" eb="6">
      <t>カンサイ</t>
    </rPh>
    <rPh sb="6" eb="8">
      <t>ジギョウ</t>
    </rPh>
    <rPh sb="8" eb="9">
      <t>ブ</t>
    </rPh>
    <phoneticPr fontId="1"/>
  </si>
  <si>
    <t>DIC㈱</t>
    <phoneticPr fontId="1"/>
  </si>
  <si>
    <t>ｱﾃｯｸｽ</t>
    <phoneticPr fontId="1"/>
  </si>
  <si>
    <t>日機装ｴｲｺｰ</t>
    <rPh sb="0" eb="3">
      <t>ニッキソウ</t>
    </rPh>
    <phoneticPr fontId="1"/>
  </si>
  <si>
    <t>日新製袋</t>
    <rPh sb="0" eb="2">
      <t>ニッシン</t>
    </rPh>
    <rPh sb="2" eb="4">
      <t>セイタイ</t>
    </rPh>
    <phoneticPr fontId="1"/>
  </si>
  <si>
    <t>田倉工具製作所</t>
    <rPh sb="0" eb="2">
      <t>タクラ</t>
    </rPh>
    <rPh sb="2" eb="4">
      <t>コウグ</t>
    </rPh>
    <rPh sb="4" eb="7">
      <t>セイサクショ</t>
    </rPh>
    <phoneticPr fontId="1"/>
  </si>
  <si>
    <t>協和ｽﾃﾝﾚｽ</t>
    <rPh sb="0" eb="2">
      <t>キョウワ</t>
    </rPh>
    <phoneticPr fontId="1"/>
  </si>
  <si>
    <t>日笠技研</t>
    <rPh sb="0" eb="2">
      <t>ヒカサ</t>
    </rPh>
    <rPh sb="2" eb="4">
      <t>ギケン</t>
    </rPh>
    <phoneticPr fontId="1"/>
  </si>
  <si>
    <t>協伸電業</t>
    <rPh sb="0" eb="2">
      <t>キョウシン</t>
    </rPh>
    <rPh sb="2" eb="4">
      <t>デンギョウ</t>
    </rPh>
    <phoneticPr fontId="1"/>
  </si>
  <si>
    <t>伊予機械製作所</t>
    <rPh sb="0" eb="7">
      <t>イヨキカイセイサクショ</t>
    </rPh>
    <phoneticPr fontId="1"/>
  </si>
  <si>
    <t>宮地電機</t>
    <rPh sb="0" eb="4">
      <t>ミヤジデンキ</t>
    </rPh>
    <phoneticPr fontId="1"/>
  </si>
  <si>
    <t>日本ｽﾋﾟﾝﾄﾞﾙ製造</t>
    <rPh sb="0" eb="2">
      <t>ニホン</t>
    </rPh>
    <rPh sb="9" eb="11">
      <t>セイゾウ</t>
    </rPh>
    <phoneticPr fontId="1"/>
  </si>
  <si>
    <t>ｾﾙｺ㈱</t>
    <phoneticPr fontId="1"/>
  </si>
  <si>
    <t>ﾀﾞｲﾜｷｺｰ</t>
    <phoneticPr fontId="1"/>
  </si>
  <si>
    <t>共同計器</t>
    <rPh sb="0" eb="2">
      <t>キョウドウ</t>
    </rPh>
    <rPh sb="2" eb="4">
      <t>ケイキ</t>
    </rPh>
    <phoneticPr fontId="1"/>
  </si>
  <si>
    <t>白川製作所</t>
    <rPh sb="0" eb="2">
      <t>シラカワ</t>
    </rPh>
    <rPh sb="2" eb="5">
      <t>セイサクショ</t>
    </rPh>
    <phoneticPr fontId="1"/>
  </si>
  <si>
    <t>ﾄﾗｽﾄﾗｰﾙﾄﾞ㈱</t>
    <phoneticPr fontId="1"/>
  </si>
  <si>
    <t>ﾕﾆﾌﾛｰ</t>
    <phoneticPr fontId="1"/>
  </si>
  <si>
    <t>(有)外山文具店</t>
    <rPh sb="0" eb="3">
      <t>ユウ</t>
    </rPh>
    <rPh sb="3" eb="5">
      <t>トヤマ</t>
    </rPh>
    <rPh sb="5" eb="7">
      <t>ブング</t>
    </rPh>
    <rPh sb="7" eb="8">
      <t>テン</t>
    </rPh>
    <phoneticPr fontId="1"/>
  </si>
  <si>
    <t>大鳥機業社</t>
    <rPh sb="0" eb="2">
      <t>オオトリ</t>
    </rPh>
    <rPh sb="2" eb="3">
      <t>キ</t>
    </rPh>
    <rPh sb="3" eb="4">
      <t>ギョウ</t>
    </rPh>
    <rPh sb="4" eb="5">
      <t>シャ</t>
    </rPh>
    <phoneticPr fontId="1"/>
  </si>
  <si>
    <t>ｱｶﾏﾂ</t>
    <phoneticPr fontId="1"/>
  </si>
  <si>
    <t>ﾏﾙﾏｽﾄﾘｸﾞ㈱</t>
    <phoneticPr fontId="1"/>
  </si>
  <si>
    <t>㈱ﾀﾞｲｷ ｱｸｼｽ</t>
    <phoneticPr fontId="1"/>
  </si>
  <si>
    <t>ｽｳｪｰｼﾞﾛｯｸ</t>
    <phoneticPr fontId="1"/>
  </si>
  <si>
    <t>関西ﾁｪﾝ</t>
    <rPh sb="0" eb="2">
      <t>カンサイ</t>
    </rPh>
    <phoneticPr fontId="1"/>
  </si>
  <si>
    <t>東洋ﾛﾊﾞｰﾄｼｮｳ㈱</t>
    <rPh sb="0" eb="2">
      <t>トウヨウ</t>
    </rPh>
    <phoneticPr fontId="1"/>
  </si>
  <si>
    <t>佐藤電機工業所</t>
    <rPh sb="0" eb="2">
      <t>サトウ</t>
    </rPh>
    <rPh sb="2" eb="4">
      <t>デンキ</t>
    </rPh>
    <rPh sb="4" eb="6">
      <t>コウギョウ</t>
    </rPh>
    <rPh sb="6" eb="7">
      <t>ショ</t>
    </rPh>
    <phoneticPr fontId="1"/>
  </si>
  <si>
    <t>東洋ｲﾝｷ中四国</t>
    <rPh sb="0" eb="2">
      <t>トウヨウ</t>
    </rPh>
    <rPh sb="5" eb="6">
      <t>チュウ</t>
    </rPh>
    <rPh sb="6" eb="8">
      <t>シコク</t>
    </rPh>
    <phoneticPr fontId="1"/>
  </si>
  <si>
    <t>東洋炭素</t>
    <rPh sb="0" eb="2">
      <t>トウヨウ</t>
    </rPh>
    <rPh sb="2" eb="4">
      <t>タンソ</t>
    </rPh>
    <phoneticPr fontId="1"/>
  </si>
  <si>
    <t>ｲｼﾃﾞﾝ</t>
    <phoneticPr fontId="1"/>
  </si>
  <si>
    <t>土居㈱</t>
    <rPh sb="0" eb="2">
      <t>ドイ</t>
    </rPh>
    <phoneticPr fontId="1"/>
  </si>
  <si>
    <t>㈱池上商店</t>
    <rPh sb="1" eb="3">
      <t>イケガミ</t>
    </rPh>
    <rPh sb="3" eb="5">
      <t>ショウテン</t>
    </rPh>
    <phoneticPr fontId="1"/>
  </si>
  <si>
    <t>㈱大進商工</t>
    <rPh sb="1" eb="3">
      <t>ダイシン</t>
    </rPh>
    <rPh sb="3" eb="5">
      <t>ショウコウ</t>
    </rPh>
    <phoneticPr fontId="1"/>
  </si>
  <si>
    <t>四電工</t>
    <rPh sb="0" eb="3">
      <t>ヨンデンコウ</t>
    </rPh>
    <phoneticPr fontId="1"/>
  </si>
  <si>
    <t>四国中央ﾃﾝﾄ</t>
    <rPh sb="0" eb="2">
      <t>シコク</t>
    </rPh>
    <rPh sb="2" eb="4">
      <t>チュウオウ</t>
    </rPh>
    <phoneticPr fontId="1"/>
  </si>
  <si>
    <t>㈱同和商事</t>
    <rPh sb="1" eb="3">
      <t>ドウワ</t>
    </rPh>
    <rPh sb="3" eb="5">
      <t>ショウジ</t>
    </rPh>
    <phoneticPr fontId="1"/>
  </si>
  <si>
    <t>坂上ｻｰﾋﾞｽ</t>
    <rPh sb="0" eb="2">
      <t>サカウエ</t>
    </rPh>
    <phoneticPr fontId="1"/>
  </si>
  <si>
    <t>高津伝動精機</t>
    <rPh sb="0" eb="2">
      <t>コウズ</t>
    </rPh>
    <rPh sb="2" eb="4">
      <t>デンドウ</t>
    </rPh>
    <rPh sb="4" eb="6">
      <t>セイキ</t>
    </rPh>
    <phoneticPr fontId="1"/>
  </si>
  <si>
    <t>四国ｴｱｰｻｰﾋﾞｽ</t>
    <rPh sb="0" eb="2">
      <t>シコク</t>
    </rPh>
    <phoneticPr fontId="1"/>
  </si>
  <si>
    <t>未来工業</t>
    <rPh sb="0" eb="2">
      <t>ミライ</t>
    </rPh>
    <rPh sb="2" eb="4">
      <t>コウギョウ</t>
    </rPh>
    <phoneticPr fontId="1"/>
  </si>
  <si>
    <t>鐘工業</t>
    <rPh sb="0" eb="1">
      <t>カネ</t>
    </rPh>
    <rPh sb="1" eb="3">
      <t>コウギョウ</t>
    </rPh>
    <phoneticPr fontId="1"/>
  </si>
  <si>
    <t>ｸﾞﾘｰﾝﾃｯｸｼﾞｬﾊﾟﾝ</t>
    <phoneticPr fontId="1"/>
  </si>
  <si>
    <t>岩本商会</t>
    <rPh sb="0" eb="2">
      <t>イワモト</t>
    </rPh>
    <rPh sb="2" eb="4">
      <t>ショウカイ</t>
    </rPh>
    <phoneticPr fontId="1"/>
  </si>
  <si>
    <t>南洋ﾏｼﾝ工業</t>
    <rPh sb="0" eb="2">
      <t>ナンヨウ</t>
    </rPh>
    <rPh sb="5" eb="7">
      <t>コウギョウ</t>
    </rPh>
    <phoneticPr fontId="1"/>
  </si>
  <si>
    <t>ｱｰｽｴｰｽ</t>
    <phoneticPr fontId="1"/>
  </si>
  <si>
    <t>MKNｴﾝｼﾞﾆｱﾘﾝｸﾞ</t>
    <phoneticPr fontId="1"/>
  </si>
  <si>
    <t>四国ﾂﾙｶﾒ</t>
    <rPh sb="0" eb="2">
      <t>シコク</t>
    </rPh>
    <phoneticPr fontId="1"/>
  </si>
  <si>
    <t>日新電子工業</t>
    <rPh sb="0" eb="2">
      <t>ニッシン</t>
    </rPh>
    <rPh sb="2" eb="4">
      <t>デンシ</t>
    </rPh>
    <rPh sb="4" eb="6">
      <t>コウギョウ</t>
    </rPh>
    <phoneticPr fontId="1"/>
  </si>
  <si>
    <t>ﾋﾞｰｴｽﾃｨ･ｴﾙｽﾄﾛﾏｯﾄ</t>
    <phoneticPr fontId="1"/>
  </si>
  <si>
    <t>伊藤弁製作</t>
    <rPh sb="0" eb="2">
      <t>イトウ</t>
    </rPh>
    <rPh sb="2" eb="3">
      <t>ベン</t>
    </rPh>
    <rPh sb="3" eb="5">
      <t>セイサク</t>
    </rPh>
    <phoneticPr fontId="1"/>
  </si>
  <si>
    <t>ﾆｭｰﾏﾁｯｸ</t>
    <phoneticPr fontId="1"/>
  </si>
  <si>
    <t>遠山産業</t>
    <rPh sb="0" eb="2">
      <t>トオヤマ</t>
    </rPh>
    <rPh sb="2" eb="4">
      <t>サンギョウ</t>
    </rPh>
    <phoneticPr fontId="1"/>
  </si>
  <si>
    <t>東洋ﾌﾟﾗﾝﾄ工業</t>
    <rPh sb="0" eb="2">
      <t>トウヨウ</t>
    </rPh>
    <rPh sb="7" eb="9">
      <t>コウギョウ</t>
    </rPh>
    <phoneticPr fontId="1"/>
  </si>
  <si>
    <t>ﾘｯｸｽ</t>
    <phoneticPr fontId="1"/>
  </si>
  <si>
    <t>ｱﾙﾊﾞｴﾝｼﾞﾆｱﾘﾝｸﾞ合同会社</t>
    <rPh sb="14" eb="16">
      <t>ゴウドウ</t>
    </rPh>
    <rPh sb="16" eb="17">
      <t>カイ</t>
    </rPh>
    <rPh sb="17" eb="18">
      <t>シャ</t>
    </rPh>
    <phoneticPr fontId="1"/>
  </si>
  <si>
    <t>佐々木ｴﾝｼﾞﾆｱﾘﾝｸﾞ</t>
    <rPh sb="0" eb="3">
      <t>ササキ</t>
    </rPh>
    <phoneticPr fontId="1"/>
  </si>
  <si>
    <t>SBC</t>
    <phoneticPr fontId="1"/>
  </si>
  <si>
    <t>ｴｽｼｰｴｰ</t>
    <phoneticPr fontId="1"/>
  </si>
  <si>
    <t>大和興産</t>
    <rPh sb="0" eb="2">
      <t>ダイワ</t>
    </rPh>
    <rPh sb="2" eb="4">
      <t>コウサン</t>
    </rPh>
    <phoneticPr fontId="1"/>
  </si>
  <si>
    <t>藤田製作所</t>
    <rPh sb="0" eb="2">
      <t>フジタ</t>
    </rPh>
    <rPh sb="2" eb="5">
      <t>セイサクショ</t>
    </rPh>
    <phoneticPr fontId="1"/>
  </si>
  <si>
    <t>小段金属</t>
    <rPh sb="0" eb="2">
      <t>コダン</t>
    </rPh>
    <rPh sb="2" eb="4">
      <t>キンゾク</t>
    </rPh>
    <phoneticPr fontId="1"/>
  </si>
  <si>
    <t>ｵｶｻﾞｷﾃｸﾉ</t>
    <phoneticPr fontId="1"/>
  </si>
  <si>
    <t>阪和工材</t>
    <rPh sb="0" eb="1">
      <t>サカ</t>
    </rPh>
    <rPh sb="1" eb="2">
      <t>ワ</t>
    </rPh>
    <rPh sb="2" eb="4">
      <t>コウザイ</t>
    </rPh>
    <phoneticPr fontId="1"/>
  </si>
  <si>
    <t>ｴｱ技研工業</t>
    <rPh sb="2" eb="4">
      <t>ギケン</t>
    </rPh>
    <rPh sb="4" eb="6">
      <t>コウギョウ</t>
    </rPh>
    <phoneticPr fontId="1"/>
  </si>
  <si>
    <t>四国ﾃｸﾉ</t>
    <rPh sb="0" eb="2">
      <t>シコク</t>
    </rPh>
    <phoneticPr fontId="1"/>
  </si>
  <si>
    <t>白川溶接</t>
    <rPh sb="0" eb="2">
      <t>シラカワ</t>
    </rPh>
    <rPh sb="2" eb="4">
      <t>ヨウセツ</t>
    </rPh>
    <phoneticPr fontId="1"/>
  </si>
  <si>
    <t>志賀包装機㈱</t>
    <rPh sb="0" eb="2">
      <t>シガ</t>
    </rPh>
    <rPh sb="2" eb="4">
      <t>ホウソウ</t>
    </rPh>
    <rPh sb="4" eb="5">
      <t>キ</t>
    </rPh>
    <phoneticPr fontId="1"/>
  </si>
  <si>
    <t>上田商会</t>
    <rPh sb="0" eb="2">
      <t>ウエダ</t>
    </rPh>
    <rPh sb="2" eb="4">
      <t>ショウカイ</t>
    </rPh>
    <phoneticPr fontId="1"/>
  </si>
  <si>
    <t>寺尾鉄工所</t>
    <rPh sb="0" eb="2">
      <t>テラオ</t>
    </rPh>
    <rPh sb="2" eb="5">
      <t>テッコウショ</t>
    </rPh>
    <phoneticPr fontId="1"/>
  </si>
  <si>
    <t>ﾊｲｳｨﾝ</t>
  </si>
  <si>
    <t>山川鉄工所</t>
    <rPh sb="0" eb="2">
      <t>ヤマカワ</t>
    </rPh>
    <rPh sb="2" eb="5">
      <t>テッコウショ</t>
    </rPh>
    <phoneticPr fontId="1"/>
  </si>
  <si>
    <t>日本ｴﾚｺﾝ</t>
    <rPh sb="0" eb="2">
      <t>ニホン</t>
    </rPh>
    <phoneticPr fontId="1"/>
  </si>
  <si>
    <t>日本ﾌﾟﾗﾊﾟﾚｯﾄ</t>
    <rPh sb="0" eb="2">
      <t>ニホン</t>
    </rPh>
    <phoneticPr fontId="1"/>
  </si>
  <si>
    <t>ｱﾗｲｱﾝｽ</t>
    <phoneticPr fontId="1"/>
  </si>
  <si>
    <t>大日工作機ｻｰﾋﾞｽｾﾝﾀｰ</t>
    <rPh sb="0" eb="2">
      <t>ダイニチ</t>
    </rPh>
    <rPh sb="2" eb="4">
      <t>コウサク</t>
    </rPh>
    <rPh sb="4" eb="5">
      <t>キ</t>
    </rPh>
    <phoneticPr fontId="1"/>
  </si>
  <si>
    <t>加藤電機設備</t>
    <rPh sb="0" eb="2">
      <t>カトウ</t>
    </rPh>
    <rPh sb="2" eb="4">
      <t>デンキ</t>
    </rPh>
    <rPh sb="4" eb="6">
      <t>セツビ</t>
    </rPh>
    <phoneticPr fontId="1"/>
  </si>
  <si>
    <t>ｴｰｾﾞｰｺﾞﾑ洋行</t>
    <rPh sb="8" eb="10">
      <t>ヨウコウ</t>
    </rPh>
    <phoneticPr fontId="1"/>
  </si>
  <si>
    <t>相川鉄工</t>
    <rPh sb="0" eb="2">
      <t>アイカワ</t>
    </rPh>
    <rPh sb="2" eb="4">
      <t>テッコウ</t>
    </rPh>
    <phoneticPr fontId="1"/>
  </si>
  <si>
    <t>ﾎｰﾑﾒｲﾄｽｽﾞｷ</t>
    <phoneticPr fontId="1"/>
  </si>
  <si>
    <t>ｴｸｽﾃﾘｱ田村</t>
    <rPh sb="6" eb="8">
      <t>タムラ</t>
    </rPh>
    <phoneticPr fontId="1"/>
  </si>
  <si>
    <t>白石ｱﾙﾐ</t>
    <rPh sb="0" eb="2">
      <t>シライシ</t>
    </rPh>
    <phoneticPr fontId="1"/>
  </si>
  <si>
    <t>栄工機</t>
    <rPh sb="0" eb="1">
      <t>サカエ</t>
    </rPh>
    <rPh sb="1" eb="3">
      <t>コウキ</t>
    </rPh>
    <phoneticPr fontId="1"/>
  </si>
  <si>
    <t>佐伯商店</t>
    <rPh sb="0" eb="2">
      <t>サイキ</t>
    </rPh>
    <rPh sb="2" eb="4">
      <t>ショウテン</t>
    </rPh>
    <phoneticPr fontId="1"/>
  </si>
  <si>
    <t>渡辺製作所</t>
    <rPh sb="0" eb="2">
      <t>ワタナベ</t>
    </rPh>
    <rPh sb="2" eb="5">
      <t>セイサクショ</t>
    </rPh>
    <phoneticPr fontId="1"/>
  </si>
  <si>
    <t>ｼｰ･ｴｽ･ｼｰ</t>
    <phoneticPr fontId="1"/>
  </si>
  <si>
    <t>東陽理工製作所</t>
    <rPh sb="0" eb="2">
      <t>トウヨウ</t>
    </rPh>
    <rPh sb="2" eb="4">
      <t>リコウ</t>
    </rPh>
    <rPh sb="4" eb="7">
      <t>セイサクショ</t>
    </rPh>
    <phoneticPr fontId="1"/>
  </si>
  <si>
    <t>三和ｼｬｯﾀｰ工業</t>
    <rPh sb="0" eb="2">
      <t>サンワ</t>
    </rPh>
    <rPh sb="7" eb="9">
      <t>コウギョウ</t>
    </rPh>
    <phoneticPr fontId="1"/>
  </si>
  <si>
    <t>ﾍﾞｽﾃﾑ</t>
    <phoneticPr fontId="1"/>
  </si>
  <si>
    <t>鹿島化学金属</t>
    <rPh sb="0" eb="2">
      <t>カシマ</t>
    </rPh>
    <rPh sb="2" eb="4">
      <t>カガク</t>
    </rPh>
    <rPh sb="4" eb="6">
      <t>キンゾク</t>
    </rPh>
    <phoneticPr fontId="1"/>
  </si>
  <si>
    <t>昭栄</t>
    <rPh sb="0" eb="2">
      <t>ショウエイ</t>
    </rPh>
    <phoneticPr fontId="1"/>
  </si>
  <si>
    <t>ｸﾛﾀﾞ</t>
    <phoneticPr fontId="1"/>
  </si>
  <si>
    <t>丸善商事</t>
    <rPh sb="0" eb="2">
      <t>マルゼン</t>
    </rPh>
    <rPh sb="2" eb="4">
      <t>ショウジ</t>
    </rPh>
    <phoneticPr fontId="1"/>
  </si>
  <si>
    <t>ｳﾀﾞｶｴﾝｼﾞ</t>
  </si>
  <si>
    <t>ﾓﾘｵﾄ</t>
  </si>
  <si>
    <t>井原鉄工所</t>
    <rPh sb="0" eb="2">
      <t>イハラ</t>
    </rPh>
    <rPh sb="2" eb="4">
      <t>テッコウ</t>
    </rPh>
    <rPh sb="4" eb="5">
      <t>ショ</t>
    </rPh>
    <phoneticPr fontId="1"/>
  </si>
  <si>
    <t>ｼﾞｪｰﾋﾞｰｲｰ</t>
    <phoneticPr fontId="1"/>
  </si>
  <si>
    <t>㈱ﾒｲｾｲ</t>
    <phoneticPr fontId="1"/>
  </si>
  <si>
    <t>川西金網店</t>
    <rPh sb="0" eb="2">
      <t>カワニシ</t>
    </rPh>
    <rPh sb="2" eb="3">
      <t>キン</t>
    </rPh>
    <rPh sb="3" eb="4">
      <t>アミ</t>
    </rPh>
    <rPh sb="4" eb="5">
      <t>テン</t>
    </rPh>
    <phoneticPr fontId="1"/>
  </si>
  <si>
    <t>ｲｼﾀﾞ</t>
    <phoneticPr fontId="1"/>
  </si>
  <si>
    <t>渡辺ｴﾝﾀｰﾌﾟﾗｲｽﾞ</t>
    <rPh sb="0" eb="2">
      <t>ワタナベ</t>
    </rPh>
    <phoneticPr fontId="1"/>
  </si>
  <si>
    <t>浅野金属工業</t>
    <rPh sb="0" eb="2">
      <t>アサノ</t>
    </rPh>
    <rPh sb="2" eb="4">
      <t>キンゾク</t>
    </rPh>
    <rPh sb="4" eb="6">
      <t>コウギョウ</t>
    </rPh>
    <phoneticPr fontId="1"/>
  </si>
  <si>
    <t>林ｹﾐｯｸ</t>
    <rPh sb="0" eb="1">
      <t>ハヤシ</t>
    </rPh>
    <phoneticPr fontId="1"/>
  </si>
  <si>
    <t>井上鋲螺工業</t>
    <rPh sb="0" eb="2">
      <t>イノウエ</t>
    </rPh>
    <rPh sb="2" eb="4">
      <t>ビョウラ</t>
    </rPh>
    <rPh sb="4" eb="6">
      <t>コウギョウ</t>
    </rPh>
    <phoneticPr fontId="1"/>
  </si>
  <si>
    <t>宮内紙工</t>
    <rPh sb="0" eb="2">
      <t>ミヤウチ</t>
    </rPh>
    <rPh sb="2" eb="4">
      <t>シコウ</t>
    </rPh>
    <phoneticPr fontId="1"/>
  </si>
  <si>
    <t>豊商ﾘｰｸ･ﾒﾝﾃﾅﾝｽ</t>
    <rPh sb="0" eb="1">
      <t>トヨ</t>
    </rPh>
    <rPh sb="1" eb="2">
      <t>ショウ</t>
    </rPh>
    <phoneticPr fontId="1"/>
  </si>
  <si>
    <t>ﾄｻﾄｰﾖｰ</t>
    <phoneticPr fontId="1"/>
  </si>
  <si>
    <t>ﾄﾙｸ</t>
  </si>
  <si>
    <t>㈱ｲﾅﾀﾞ</t>
    <phoneticPr fontId="1"/>
  </si>
  <si>
    <t>二州屋</t>
    <rPh sb="0" eb="1">
      <t>ニ</t>
    </rPh>
    <rPh sb="1" eb="2">
      <t>シュウ</t>
    </rPh>
    <rPh sb="2" eb="3">
      <t>ヤ</t>
    </rPh>
    <phoneticPr fontId="1"/>
  </si>
  <si>
    <t>ｶｲﾎｳ</t>
  </si>
  <si>
    <t>ｶﾜﾀﾃｸﾉｻｰﾋﾞｽ</t>
    <phoneticPr fontId="1"/>
  </si>
  <si>
    <t>ｻﾄﾐ製作所</t>
    <rPh sb="3" eb="6">
      <t>セイサクショ</t>
    </rPh>
    <phoneticPr fontId="1"/>
  </si>
  <si>
    <t>白川冷機㈱</t>
    <rPh sb="0" eb="2">
      <t>シラカワ</t>
    </rPh>
    <rPh sb="2" eb="4">
      <t>レイキ</t>
    </rPh>
    <phoneticPr fontId="1"/>
  </si>
  <si>
    <t>ﾕｽｺｺｰﾎﾟﾚｰｼｮﾝ</t>
    <phoneticPr fontId="1"/>
  </si>
  <si>
    <t>平川産業</t>
    <rPh sb="0" eb="2">
      <t>ヒラカワ</t>
    </rPh>
    <rPh sb="2" eb="4">
      <t>サンギョウ</t>
    </rPh>
    <phoneticPr fontId="1"/>
  </si>
  <si>
    <t>㈱正久</t>
    <rPh sb="1" eb="3">
      <t>マサヒサ</t>
    </rPh>
    <phoneticPr fontId="1"/>
  </si>
  <si>
    <t>司精機</t>
    <rPh sb="0" eb="1">
      <t>ツカサ</t>
    </rPh>
    <rPh sb="1" eb="3">
      <t>セイキ</t>
    </rPh>
    <phoneticPr fontId="1"/>
  </si>
  <si>
    <t>ﾌﾟﾗﾃｯｸ</t>
    <phoneticPr fontId="1"/>
  </si>
  <si>
    <t>ｳﾞｧｰﾀﾞｰ･ｻｲｴﾝﾃｨﾌｨｯｸ</t>
    <phoneticPr fontId="1"/>
  </si>
  <si>
    <t>大西金属</t>
    <rPh sb="0" eb="2">
      <t>オオニシ</t>
    </rPh>
    <rPh sb="2" eb="4">
      <t>キンゾク</t>
    </rPh>
    <phoneticPr fontId="1"/>
  </si>
  <si>
    <t>丸善工業</t>
    <rPh sb="0" eb="2">
      <t>マルゼン</t>
    </rPh>
    <rPh sb="2" eb="4">
      <t>コウギョウ</t>
    </rPh>
    <phoneticPr fontId="1"/>
  </si>
  <si>
    <t>ｺﾓﾀﾞ機工</t>
    <rPh sb="4" eb="6">
      <t>キコウ</t>
    </rPh>
    <phoneticPr fontId="1"/>
  </si>
  <si>
    <t>㈱創建</t>
    <rPh sb="1" eb="3">
      <t>ソウケン</t>
    </rPh>
    <phoneticPr fontId="1"/>
  </si>
  <si>
    <t>㈱ﾖｺｲ</t>
    <phoneticPr fontId="1"/>
  </si>
  <si>
    <t>中村製作所</t>
    <rPh sb="0" eb="2">
      <t>ナカムラ</t>
    </rPh>
    <rPh sb="2" eb="5">
      <t>セイサクショ</t>
    </rPh>
    <phoneticPr fontId="1"/>
  </si>
  <si>
    <t>丸石製紙</t>
    <rPh sb="0" eb="2">
      <t>マルイシ</t>
    </rPh>
    <rPh sb="2" eb="4">
      <t>セイシ</t>
    </rPh>
    <phoneticPr fontId="1"/>
  </si>
  <si>
    <t>ｼｰｽﾞ</t>
    <phoneticPr fontId="1"/>
  </si>
  <si>
    <t>DEF商会</t>
    <rPh sb="3" eb="5">
      <t>ショウカイ</t>
    </rPh>
    <phoneticPr fontId="1"/>
  </si>
  <si>
    <t>㈱ｻﾝﾜ</t>
    <phoneticPr fontId="1"/>
  </si>
  <si>
    <t>前谷鉄工所</t>
    <rPh sb="0" eb="2">
      <t>マエタニ</t>
    </rPh>
    <rPh sb="2" eb="5">
      <t>テッコウショ</t>
    </rPh>
    <phoneticPr fontId="1"/>
  </si>
  <si>
    <t>阿部工業</t>
    <rPh sb="0" eb="2">
      <t>アベ</t>
    </rPh>
    <rPh sb="2" eb="4">
      <t>コウギョウ</t>
    </rPh>
    <phoneticPr fontId="1"/>
  </si>
  <si>
    <t>㈱ELJ</t>
    <phoneticPr fontId="1"/>
  </si>
  <si>
    <t>西野産業</t>
    <rPh sb="0" eb="2">
      <t>ニシノ</t>
    </rPh>
    <rPh sb="2" eb="4">
      <t>サンギョウ</t>
    </rPh>
    <phoneticPr fontId="1"/>
  </si>
  <si>
    <t>愛媛工業</t>
    <rPh sb="0" eb="2">
      <t>エヒメ</t>
    </rPh>
    <rPh sb="2" eb="4">
      <t>コウギョウ</t>
    </rPh>
    <phoneticPr fontId="1"/>
  </si>
  <si>
    <t>ﾌｨﾅﾝﾃｯｸ</t>
    <phoneticPr fontId="1"/>
  </si>
  <si>
    <t>ｱﾌﾞ･ｱﾌﾞ</t>
    <phoneticPr fontId="1"/>
  </si>
  <si>
    <t>資材社</t>
    <rPh sb="0" eb="2">
      <t>シザイ</t>
    </rPh>
    <rPh sb="2" eb="3">
      <t>シャ</t>
    </rPh>
    <phoneticPr fontId="1"/>
  </si>
  <si>
    <t>ｲｰﾃﾞｰｴﾑ㈱</t>
    <phoneticPr fontId="1"/>
  </si>
  <si>
    <t>ﾕｰｼｰ</t>
    <phoneticPr fontId="1"/>
  </si>
  <si>
    <t>本田電設工業</t>
    <rPh sb="0" eb="2">
      <t>ホンダ</t>
    </rPh>
    <rPh sb="2" eb="4">
      <t>デンセツ</t>
    </rPh>
    <rPh sb="4" eb="6">
      <t>コウギョウ</t>
    </rPh>
    <phoneticPr fontId="1"/>
  </si>
  <si>
    <t>ｼﾝｾｲﾃｸﾉ</t>
    <phoneticPr fontId="1"/>
  </si>
  <si>
    <t>SRM㈱</t>
    <phoneticPr fontId="1"/>
  </si>
  <si>
    <t>ｱｲｼﾞｰｶﾞﾗｽｻｰﾋﾞｽ</t>
    <phoneticPr fontId="1"/>
  </si>
  <si>
    <t>三化理化器機</t>
    <rPh sb="0" eb="2">
      <t>サンカ</t>
    </rPh>
    <rPh sb="2" eb="4">
      <t>リカ</t>
    </rPh>
    <rPh sb="4" eb="6">
      <t>キキ</t>
    </rPh>
    <phoneticPr fontId="1"/>
  </si>
  <si>
    <t>岸製作所</t>
    <rPh sb="0" eb="1">
      <t>キシ</t>
    </rPh>
    <rPh sb="1" eb="4">
      <t>セイサクショ</t>
    </rPh>
    <phoneticPr fontId="1"/>
  </si>
  <si>
    <t>菱進</t>
    <rPh sb="0" eb="1">
      <t>ビシ</t>
    </rPh>
    <rPh sb="1" eb="2">
      <t>シン</t>
    </rPh>
    <phoneticPr fontId="1"/>
  </si>
  <si>
    <t>ｻﾇｷ刷子製作所</t>
    <rPh sb="3" eb="4">
      <t>サツ</t>
    </rPh>
    <rPh sb="4" eb="5">
      <t>シ</t>
    </rPh>
    <rPh sb="5" eb="8">
      <t>セイサクショ</t>
    </rPh>
    <phoneticPr fontId="1"/>
  </si>
  <si>
    <t>森田工業</t>
    <rPh sb="0" eb="2">
      <t>モリタ</t>
    </rPh>
    <rPh sb="2" eb="4">
      <t>コウギョウ</t>
    </rPh>
    <phoneticPr fontId="1"/>
  </si>
  <si>
    <t>松井製作所</t>
    <rPh sb="0" eb="2">
      <t>マツイ</t>
    </rPh>
    <rPh sb="2" eb="5">
      <t>セイサクショ</t>
    </rPh>
    <phoneticPr fontId="1"/>
  </si>
  <si>
    <t>周東㈱</t>
    <rPh sb="0" eb="2">
      <t>シュウトウ</t>
    </rPh>
    <phoneticPr fontId="1"/>
  </si>
  <si>
    <t>柴川工作所</t>
    <rPh sb="0" eb="2">
      <t>シバカワ</t>
    </rPh>
    <rPh sb="2" eb="5">
      <t>コウサクショ</t>
    </rPh>
    <phoneticPr fontId="1"/>
  </si>
  <si>
    <t>ﾏﾅﾍﾞ精機</t>
    <rPh sb="4" eb="6">
      <t>セイキ</t>
    </rPh>
    <phoneticPr fontId="1"/>
  </si>
  <si>
    <t>樋口精機</t>
    <rPh sb="0" eb="2">
      <t>ヒグチ</t>
    </rPh>
    <rPh sb="2" eb="4">
      <t>セイキ</t>
    </rPh>
    <phoneticPr fontId="1"/>
  </si>
  <si>
    <t>長谷川鉄工所</t>
    <rPh sb="0" eb="3">
      <t>ハセガワ</t>
    </rPh>
    <rPh sb="3" eb="6">
      <t>テッコウショ</t>
    </rPh>
    <phoneticPr fontId="1"/>
  </si>
  <si>
    <t>幕張産業</t>
    <rPh sb="0" eb="2">
      <t>マクハリ</t>
    </rPh>
    <rPh sb="2" eb="4">
      <t>サンギョウ</t>
    </rPh>
    <phoneticPr fontId="1"/>
  </si>
  <si>
    <t>大阪減速機製作所</t>
    <rPh sb="0" eb="2">
      <t>オオサカ</t>
    </rPh>
    <rPh sb="2" eb="5">
      <t>ゲンソクキ</t>
    </rPh>
    <rPh sb="5" eb="8">
      <t>セイサクショ</t>
    </rPh>
    <phoneticPr fontId="1"/>
  </si>
  <si>
    <t>大和商會</t>
    <rPh sb="0" eb="2">
      <t>ヤマト</t>
    </rPh>
    <rPh sb="2" eb="4">
      <t>ショウカイ</t>
    </rPh>
    <phoneticPr fontId="1"/>
  </si>
  <si>
    <t>横内商会ﾃｸﾆｶﾙｻｰﾋﾞｽ</t>
    <rPh sb="0" eb="2">
      <t>ヨコウチ</t>
    </rPh>
    <rPh sb="2" eb="4">
      <t>ショウカイ</t>
    </rPh>
    <phoneticPr fontId="1"/>
  </si>
  <si>
    <t>朝日機工</t>
    <rPh sb="0" eb="2">
      <t>アサヒ</t>
    </rPh>
    <rPh sb="2" eb="4">
      <t>キコウ</t>
    </rPh>
    <phoneticPr fontId="1"/>
  </si>
  <si>
    <t>近藤工作所</t>
    <rPh sb="0" eb="2">
      <t>コンドウ</t>
    </rPh>
    <rPh sb="2" eb="5">
      <t>コウサクショ</t>
    </rPh>
    <phoneticPr fontId="1"/>
  </si>
  <si>
    <t>ｵﾘﾃｯｸ中国</t>
    <rPh sb="5" eb="7">
      <t>チュウゴク</t>
    </rPh>
    <phoneticPr fontId="1"/>
  </si>
  <si>
    <t>ｱｸﾃｨｵ川之江</t>
    <rPh sb="5" eb="8">
      <t>カワノエ</t>
    </rPh>
    <phoneticPr fontId="1"/>
  </si>
  <si>
    <t>関西ｵｰﾄﾒｰｼｮﾝ</t>
    <rPh sb="0" eb="2">
      <t>カンサイ</t>
    </rPh>
    <phoneticPr fontId="1"/>
  </si>
  <si>
    <t>ﾌｪｻﾞｰ安全剃刃</t>
    <rPh sb="5" eb="7">
      <t>アンゼン</t>
    </rPh>
    <rPh sb="7" eb="8">
      <t>ソ</t>
    </rPh>
    <rPh sb="8" eb="9">
      <t>ハ</t>
    </rPh>
    <phoneticPr fontId="1"/>
  </si>
  <si>
    <t>山下繊維</t>
    <rPh sb="0" eb="2">
      <t>ヤマシタ</t>
    </rPh>
    <rPh sb="2" eb="4">
      <t>センイ</t>
    </rPh>
    <phoneticPr fontId="1"/>
  </si>
  <si>
    <t>ｷｰｴﾝｽ</t>
    <phoneticPr fontId="1"/>
  </si>
  <si>
    <t>ﾎｯﾄｻｰﾋﾞｽ</t>
    <phoneticPr fontId="1"/>
  </si>
  <si>
    <t>三栄油脂</t>
    <rPh sb="0" eb="2">
      <t>サンエイ</t>
    </rPh>
    <rPh sb="2" eb="4">
      <t>ユシ</t>
    </rPh>
    <phoneticPr fontId="1"/>
  </si>
  <si>
    <t>谷口商会</t>
    <rPh sb="0" eb="2">
      <t>タニグチ</t>
    </rPh>
    <rPh sb="2" eb="4">
      <t>ショウカイ</t>
    </rPh>
    <phoneticPr fontId="1"/>
  </si>
  <si>
    <t>大西林業合同会社</t>
    <rPh sb="0" eb="2">
      <t>オオニシ</t>
    </rPh>
    <rPh sb="2" eb="4">
      <t>リンギョウ</t>
    </rPh>
    <rPh sb="4" eb="6">
      <t>ゴウドウ</t>
    </rPh>
    <rPh sb="6" eb="8">
      <t>ガイシャ</t>
    </rPh>
    <phoneticPr fontId="1"/>
  </si>
  <si>
    <t>ｺｰﾍﾞｯｸｽ㈱</t>
    <phoneticPr fontId="1"/>
  </si>
  <si>
    <t>光洋産業</t>
    <rPh sb="0" eb="2">
      <t>コウヨウ</t>
    </rPh>
    <rPh sb="2" eb="4">
      <t>サンギョウ</t>
    </rPh>
    <phoneticPr fontId="1"/>
  </si>
  <si>
    <t>宮内組</t>
    <rPh sb="0" eb="3">
      <t>ミヤウチグミ</t>
    </rPh>
    <phoneticPr fontId="1"/>
  </si>
  <si>
    <t>ｱｲﾃｯｸ</t>
    <phoneticPr fontId="1"/>
  </si>
  <si>
    <t>のぞみ厨機</t>
    <rPh sb="3" eb="5">
      <t>チュウキ</t>
    </rPh>
    <phoneticPr fontId="1"/>
  </si>
  <si>
    <t>ﾎｰﾍﾞｯｸ</t>
    <phoneticPr fontId="1"/>
  </si>
  <si>
    <t>ﾀﾆｺｰ㈱</t>
    <phoneticPr fontId="1"/>
  </si>
  <si>
    <t>山本鍍金試験器</t>
    <rPh sb="0" eb="2">
      <t>ヤマモト</t>
    </rPh>
    <rPh sb="2" eb="4">
      <t>メッキ</t>
    </rPh>
    <rPh sb="4" eb="6">
      <t>シケン</t>
    </rPh>
    <rPh sb="6" eb="7">
      <t>キ</t>
    </rPh>
    <phoneticPr fontId="1"/>
  </si>
  <si>
    <t>HNﾌﾟﾗﾝﾆﾝｸﾞ</t>
    <phoneticPr fontId="1"/>
  </si>
  <si>
    <t>深江特殊鋼㈱</t>
    <rPh sb="0" eb="1">
      <t>シン</t>
    </rPh>
    <rPh sb="1" eb="2">
      <t>エ</t>
    </rPh>
    <rPh sb="2" eb="5">
      <t>トクシュコウ</t>
    </rPh>
    <phoneticPr fontId="1"/>
  </si>
  <si>
    <t>東洋化学</t>
    <rPh sb="0" eb="4">
      <t>トウヨウカガク</t>
    </rPh>
    <phoneticPr fontId="1"/>
  </si>
  <si>
    <t>日本液炭</t>
    <rPh sb="0" eb="2">
      <t>ニホン</t>
    </rPh>
    <rPh sb="2" eb="4">
      <t>エキタン</t>
    </rPh>
    <phoneticPr fontId="1"/>
  </si>
  <si>
    <t>文楽</t>
    <rPh sb="0" eb="2">
      <t>ブンラク</t>
    </rPh>
    <phoneticPr fontId="1"/>
  </si>
  <si>
    <t>福崎機械製作所</t>
    <rPh sb="0" eb="2">
      <t>フクザキ</t>
    </rPh>
    <rPh sb="2" eb="4">
      <t>キカイ</t>
    </rPh>
    <rPh sb="4" eb="7">
      <t>セイサクショ</t>
    </rPh>
    <phoneticPr fontId="1"/>
  </si>
  <si>
    <t>瀬戸内溶接</t>
    <rPh sb="0" eb="3">
      <t>セトウチ</t>
    </rPh>
    <rPh sb="3" eb="5">
      <t>ヨウセツ</t>
    </rPh>
    <phoneticPr fontId="1"/>
  </si>
  <si>
    <t>ｻﾝｹﾞﾝ㈱</t>
    <phoneticPr fontId="1"/>
  </si>
  <si>
    <t>ｴｰﾜﾝｾｷｭﾘﾃｨｰｻｰﾋﾞｽ</t>
    <phoneticPr fontId="1"/>
  </si>
  <si>
    <t>ｻﾄｰ 千葉支店</t>
    <rPh sb="4" eb="6">
      <t>チバ</t>
    </rPh>
    <rPh sb="6" eb="8">
      <t>シテン</t>
    </rPh>
    <phoneticPr fontId="1"/>
  </si>
  <si>
    <t>中西製作所</t>
    <rPh sb="0" eb="2">
      <t>ナカニシ</t>
    </rPh>
    <rPh sb="2" eb="5">
      <t>セイサクショ</t>
    </rPh>
    <phoneticPr fontId="1"/>
  </si>
  <si>
    <t>村上電機</t>
    <rPh sb="0" eb="2">
      <t>ムラカミ</t>
    </rPh>
    <rPh sb="2" eb="4">
      <t>デンキ</t>
    </rPh>
    <phoneticPr fontId="1"/>
  </si>
  <si>
    <t>村上鉄工所</t>
    <rPh sb="0" eb="2">
      <t>ムラカミ</t>
    </rPh>
    <rPh sb="2" eb="5">
      <t>テッコウショ</t>
    </rPh>
    <phoneticPr fontId="1"/>
  </si>
  <si>
    <t>ｴﾏｿﾞﾝ ﾊﾞﾙﾌﾞｱﾝﾄﾞｺﾝﾄﾛｰﾙ</t>
    <phoneticPr fontId="1"/>
  </si>
  <si>
    <t>新晃ｱﾄﾓｽ</t>
    <rPh sb="0" eb="2">
      <t>シンコウ</t>
    </rPh>
    <phoneticPr fontId="1"/>
  </si>
  <si>
    <t>山下工機</t>
    <rPh sb="0" eb="2">
      <t>ヤマシタ</t>
    </rPh>
    <rPh sb="2" eb="4">
      <t>コウキ</t>
    </rPh>
    <phoneticPr fontId="1"/>
  </si>
  <si>
    <t>ｽﾘｰﾗｲｸ 三好機械</t>
    <rPh sb="7" eb="9">
      <t>ミヨシ</t>
    </rPh>
    <rPh sb="9" eb="11">
      <t>キカイ</t>
    </rPh>
    <phoneticPr fontId="1"/>
  </si>
  <si>
    <t>川之江ﾊﾞｯﾃﾘｰ</t>
    <rPh sb="0" eb="3">
      <t>カワノエ</t>
    </rPh>
    <phoneticPr fontId="1"/>
  </si>
  <si>
    <t>服部電機</t>
    <rPh sb="0" eb="2">
      <t>ハットリ</t>
    </rPh>
    <rPh sb="2" eb="4">
      <t>デンキ</t>
    </rPh>
    <phoneticPr fontId="1"/>
  </si>
  <si>
    <t>ﾄｰｸｼｽﾃﾑ</t>
    <phoneticPr fontId="1"/>
  </si>
  <si>
    <t>協栄電機</t>
    <rPh sb="0" eb="2">
      <t>キョウエイ</t>
    </rPh>
    <rPh sb="2" eb="4">
      <t>デンキ</t>
    </rPh>
    <phoneticPr fontId="1"/>
  </si>
  <si>
    <t>新興ｴﾝｼﾞﾆﾔ</t>
    <rPh sb="0" eb="2">
      <t>シンコウ</t>
    </rPh>
    <phoneticPr fontId="1"/>
  </si>
  <si>
    <t>親和ﾊﾟｯｹｰｼﾞ</t>
    <rPh sb="0" eb="2">
      <t>シンワ</t>
    </rPh>
    <phoneticPr fontId="1"/>
  </si>
  <si>
    <t>日東化学産業</t>
    <rPh sb="0" eb="2">
      <t>ニットウ</t>
    </rPh>
    <rPh sb="2" eb="4">
      <t>カガク</t>
    </rPh>
    <rPh sb="4" eb="6">
      <t>サンギョウ</t>
    </rPh>
    <phoneticPr fontId="1"/>
  </si>
  <si>
    <t>ﾛﾊﾞﾃｯｸｼﾞｬﾊﾟﾝ</t>
    <phoneticPr fontId="1"/>
  </si>
  <si>
    <t>東新ｾﾗﾃｯｸ</t>
    <rPh sb="0" eb="2">
      <t>トウシン</t>
    </rPh>
    <phoneticPr fontId="1"/>
  </si>
  <si>
    <t>㈱LOG</t>
    <phoneticPr fontId="1"/>
  </si>
  <si>
    <t>城田電機炉材</t>
    <rPh sb="0" eb="2">
      <t>シロタ</t>
    </rPh>
    <rPh sb="2" eb="4">
      <t>デンキ</t>
    </rPh>
    <rPh sb="4" eb="6">
      <t>ロザイ</t>
    </rPh>
    <phoneticPr fontId="1"/>
  </si>
  <si>
    <t>大明工機</t>
    <rPh sb="0" eb="2">
      <t>ダイメイ</t>
    </rPh>
    <rPh sb="2" eb="4">
      <t>コウキ</t>
    </rPh>
    <phoneticPr fontId="1"/>
  </si>
  <si>
    <t>日潤</t>
    <rPh sb="0" eb="1">
      <t>ニチ</t>
    </rPh>
    <rPh sb="1" eb="2">
      <t>ジュン</t>
    </rPh>
    <phoneticPr fontId="1"/>
  </si>
  <si>
    <t>大阪金属工業所</t>
    <rPh sb="0" eb="2">
      <t>オオサカ</t>
    </rPh>
    <rPh sb="2" eb="4">
      <t>キンゾク</t>
    </rPh>
    <rPh sb="4" eb="6">
      <t>コウギョウ</t>
    </rPh>
    <rPh sb="6" eb="7">
      <t>ショ</t>
    </rPh>
    <phoneticPr fontId="1"/>
  </si>
  <si>
    <t>大平工機</t>
    <rPh sb="0" eb="2">
      <t>オオヒラ</t>
    </rPh>
    <rPh sb="2" eb="4">
      <t>コウキ</t>
    </rPh>
    <phoneticPr fontId="1"/>
  </si>
  <si>
    <t>ICHIKAWA</t>
    <phoneticPr fontId="1"/>
  </si>
  <si>
    <t>和廣技研</t>
    <rPh sb="0" eb="1">
      <t>カズ</t>
    </rPh>
    <rPh sb="1" eb="2">
      <t>ヒロ</t>
    </rPh>
    <rPh sb="2" eb="4">
      <t>ギケン</t>
    </rPh>
    <phoneticPr fontId="1"/>
  </si>
  <si>
    <t>東辰産業</t>
    <rPh sb="0" eb="1">
      <t>ヒガシ</t>
    </rPh>
    <rPh sb="1" eb="2">
      <t>シン</t>
    </rPh>
    <rPh sb="2" eb="4">
      <t>サンギョウ</t>
    </rPh>
    <phoneticPr fontId="1"/>
  </si>
  <si>
    <t>ｺﾝﾄﾚｰﾙ</t>
    <phoneticPr fontId="1"/>
  </si>
  <si>
    <t>鎌長製衡</t>
    <rPh sb="0" eb="1">
      <t>カマ</t>
    </rPh>
    <rPh sb="1" eb="2">
      <t>ナガ</t>
    </rPh>
    <rPh sb="2" eb="4">
      <t>セイコウ</t>
    </rPh>
    <phoneticPr fontId="1"/>
  </si>
  <si>
    <t>富士商会</t>
    <rPh sb="0" eb="2">
      <t>フジ</t>
    </rPh>
    <rPh sb="2" eb="3">
      <t>ショウ</t>
    </rPh>
    <rPh sb="3" eb="4">
      <t>カイ</t>
    </rPh>
    <phoneticPr fontId="1"/>
  </si>
  <si>
    <t>喜一工具</t>
    <rPh sb="0" eb="2">
      <t>キイチ</t>
    </rPh>
    <rPh sb="2" eb="4">
      <t>コウグ</t>
    </rPh>
    <phoneticPr fontId="1"/>
  </si>
  <si>
    <t>平井精密工業</t>
    <rPh sb="0" eb="2">
      <t>ヒライ</t>
    </rPh>
    <rPh sb="2" eb="4">
      <t>セイミツ</t>
    </rPh>
    <rPh sb="4" eb="6">
      <t>コウギョウ</t>
    </rPh>
    <phoneticPr fontId="1"/>
  </si>
  <si>
    <t>AirTAC㈱</t>
    <phoneticPr fontId="1"/>
  </si>
  <si>
    <t>ｼｭﾏﾙﾂ㈱</t>
    <phoneticPr fontId="1"/>
  </si>
  <si>
    <t>日本ﾌｪｲｳｨｯｸ㈱</t>
    <rPh sb="0" eb="2">
      <t>ニホン</t>
    </rPh>
    <phoneticPr fontId="1"/>
  </si>
  <si>
    <t>ﾆｯﾀ化工品</t>
    <rPh sb="3" eb="5">
      <t>カコウ</t>
    </rPh>
    <rPh sb="5" eb="6">
      <t>ヒン</t>
    </rPh>
    <phoneticPr fontId="1"/>
  </si>
  <si>
    <t>西条環境分析ｾﾝﾀｰ</t>
    <rPh sb="0" eb="2">
      <t>サイジョウ</t>
    </rPh>
    <rPh sb="2" eb="4">
      <t>カンキョウ</t>
    </rPh>
    <rPh sb="4" eb="6">
      <t>ブンセキ</t>
    </rPh>
    <phoneticPr fontId="1"/>
  </si>
  <si>
    <t>㈱三笠</t>
    <rPh sb="1" eb="3">
      <t>ミカサ</t>
    </rPh>
    <phoneticPr fontId="1"/>
  </si>
  <si>
    <t>蔵王産業</t>
    <rPh sb="0" eb="1">
      <t>ゾウ</t>
    </rPh>
    <rPh sb="1" eb="2">
      <t>オウ</t>
    </rPh>
    <rPh sb="2" eb="4">
      <t>サンギョウ</t>
    </rPh>
    <phoneticPr fontId="1"/>
  </si>
  <si>
    <t>三洋ｳｪﾙﾃｯｸ</t>
    <rPh sb="0" eb="2">
      <t>サンヨウ</t>
    </rPh>
    <phoneticPr fontId="1"/>
  </si>
  <si>
    <t>伸榮産業</t>
    <rPh sb="0" eb="1">
      <t>シン</t>
    </rPh>
    <rPh sb="1" eb="2">
      <t>エイ</t>
    </rPh>
    <rPh sb="2" eb="4">
      <t>サンギョウ</t>
    </rPh>
    <phoneticPr fontId="1"/>
  </si>
  <si>
    <t>朝日機工資材</t>
    <rPh sb="0" eb="2">
      <t>アサヒ</t>
    </rPh>
    <rPh sb="2" eb="4">
      <t>キコウ</t>
    </rPh>
    <rPh sb="4" eb="6">
      <t>シザイ</t>
    </rPh>
    <phoneticPr fontId="1"/>
  </si>
  <si>
    <t>西日本空機</t>
    <rPh sb="0" eb="1">
      <t>ニシ</t>
    </rPh>
    <rPh sb="1" eb="3">
      <t>ニホン</t>
    </rPh>
    <rPh sb="3" eb="5">
      <t>クウキ</t>
    </rPh>
    <phoneticPr fontId="1"/>
  </si>
  <si>
    <t>丸昌</t>
    <rPh sb="0" eb="2">
      <t>マルショウ</t>
    </rPh>
    <phoneticPr fontId="1"/>
  </si>
  <si>
    <t>ﾆｭｰﾏﾁｯｸ工業</t>
    <rPh sb="7" eb="9">
      <t>コウギョウ</t>
    </rPh>
    <phoneticPr fontId="1"/>
  </si>
  <si>
    <t>富士鋼材</t>
    <rPh sb="0" eb="2">
      <t>フジ</t>
    </rPh>
    <rPh sb="2" eb="4">
      <t>コウザイ</t>
    </rPh>
    <phoneticPr fontId="1"/>
  </si>
  <si>
    <t>四国工作所</t>
    <rPh sb="0" eb="2">
      <t>シコク</t>
    </rPh>
    <rPh sb="2" eb="5">
      <t>コウサクショ</t>
    </rPh>
    <phoneticPr fontId="1"/>
  </si>
  <si>
    <t>㈱春日井</t>
    <rPh sb="1" eb="4">
      <t>カスガイ</t>
    </rPh>
    <phoneticPr fontId="1"/>
  </si>
  <si>
    <t>大洋精機㈱</t>
    <rPh sb="0" eb="2">
      <t>タイヨウ</t>
    </rPh>
    <rPh sb="2" eb="4">
      <t>セイキ</t>
    </rPh>
    <phoneticPr fontId="1"/>
  </si>
  <si>
    <t>宮川ﾛｰﾗｰ</t>
    <rPh sb="0" eb="2">
      <t>ミヤカワ</t>
    </rPh>
    <phoneticPr fontId="1"/>
  </si>
  <si>
    <t>ｶﾞｽﾃｯｸ</t>
    <phoneticPr fontId="1"/>
  </si>
  <si>
    <t>ﾓﾉﾀﾛｳ</t>
  </si>
  <si>
    <t>ﾐｽﾐ</t>
  </si>
  <si>
    <t>渡辺塗料</t>
    <rPh sb="0" eb="2">
      <t>ワタナベ</t>
    </rPh>
    <rPh sb="2" eb="4">
      <t>トリョウ</t>
    </rPh>
    <phoneticPr fontId="1"/>
  </si>
  <si>
    <t>Amazon</t>
    <phoneticPr fontId="1"/>
  </si>
  <si>
    <t>ｻﾄｰ ｶｽﾀﾏｰｻﾎﾟｰﾄ</t>
    <phoneticPr fontId="1"/>
  </si>
  <si>
    <t>ﾅｶﾞﾉ商会</t>
    <rPh sb="4" eb="6">
      <t>ショウカイ</t>
    </rPh>
    <phoneticPr fontId="1"/>
  </si>
  <si>
    <t>ｱｸﾞｻｽ</t>
  </si>
  <si>
    <t>ﾊｲｶｯﾄ</t>
  </si>
  <si>
    <t>岩崎ｴｱｰﾃｯｸ</t>
    <rPh sb="0" eb="2">
      <t>イワサキ</t>
    </rPh>
    <phoneticPr fontId="1"/>
  </si>
  <si>
    <t>ｺﾍﾞﾙｺ･ｺﾝﾌﾟﾚｯｻ</t>
    <phoneticPr fontId="1"/>
  </si>
  <si>
    <t>ﾀﾆ工業</t>
    <rPh sb="2" eb="4">
      <t>コウギョウ</t>
    </rPh>
    <phoneticPr fontId="1"/>
  </si>
  <si>
    <t>西村塗料店</t>
    <rPh sb="0" eb="2">
      <t>ニシムラ</t>
    </rPh>
    <rPh sb="2" eb="4">
      <t>トリョウ</t>
    </rPh>
    <rPh sb="4" eb="5">
      <t>テン</t>
    </rPh>
    <phoneticPr fontId="1"/>
  </si>
  <si>
    <t>日本ﾌｯｿﾃｸﾉｺｰﾄ</t>
    <rPh sb="0" eb="2">
      <t>ニホン</t>
    </rPh>
    <phoneticPr fontId="1"/>
  </si>
  <si>
    <t>早川商事</t>
    <rPh sb="0" eb="2">
      <t>ハヤカワ</t>
    </rPh>
    <rPh sb="2" eb="4">
      <t>ショウジ</t>
    </rPh>
    <phoneticPr fontId="1"/>
  </si>
  <si>
    <t>藤巻鋼材大阪</t>
    <rPh sb="0" eb="2">
      <t>フジマキ</t>
    </rPh>
    <rPh sb="2" eb="4">
      <t>コウザイ</t>
    </rPh>
    <rPh sb="4" eb="6">
      <t>オオサカ</t>
    </rPh>
    <phoneticPr fontId="1"/>
  </si>
  <si>
    <t>井上鋼材</t>
    <rPh sb="0" eb="2">
      <t>イノウエ</t>
    </rPh>
    <rPh sb="2" eb="4">
      <t>コウザイ</t>
    </rPh>
    <phoneticPr fontId="1"/>
  </si>
  <si>
    <t>U.K商会</t>
    <rPh sb="3" eb="5">
      <t>ショウカイ</t>
    </rPh>
    <phoneticPr fontId="1"/>
  </si>
  <si>
    <t>丸岩電設</t>
    <rPh sb="0" eb="2">
      <t>マルイワ</t>
    </rPh>
    <rPh sb="2" eb="4">
      <t>デンセツ</t>
    </rPh>
    <phoneticPr fontId="1"/>
  </si>
  <si>
    <t>森研</t>
    <rPh sb="0" eb="1">
      <t>モリ</t>
    </rPh>
    <rPh sb="1" eb="2">
      <t>ケン</t>
    </rPh>
    <phoneticPr fontId="1"/>
  </si>
  <si>
    <t>ｱﾙｼｽﾃｽﾄ</t>
    <phoneticPr fontId="1"/>
  </si>
  <si>
    <t>在庫</t>
    <rPh sb="0" eb="2">
      <t>ザイコ</t>
    </rPh>
    <phoneticPr fontId="1"/>
  </si>
  <si>
    <t>仕入先</t>
    <rPh sb="0" eb="3">
      <t>シイレサキ</t>
    </rPh>
    <phoneticPr fontId="1"/>
  </si>
  <si>
    <t>分類名</t>
    <rPh sb="0" eb="2">
      <t>ブンルイ</t>
    </rPh>
    <rPh sb="2" eb="3">
      <t>メイ</t>
    </rPh>
    <phoneticPr fontId="1"/>
  </si>
  <si>
    <t>取寄品</t>
    <rPh sb="0" eb="2">
      <t>トリヨ</t>
    </rPh>
    <rPh sb="2" eb="3">
      <t>ヒン</t>
    </rPh>
    <phoneticPr fontId="1"/>
  </si>
  <si>
    <t>常時在庫品</t>
    <rPh sb="0" eb="2">
      <t>ジョウジ</t>
    </rPh>
    <rPh sb="2" eb="5">
      <t>ザイコヒン</t>
    </rPh>
    <phoneticPr fontId="1"/>
  </si>
  <si>
    <t>C2</t>
  </si>
  <si>
    <t>三ﾂ星</t>
    <rPh sb="0" eb="1">
      <t>ミ</t>
    </rPh>
    <rPh sb="2" eb="3">
      <t>ボシ</t>
    </rPh>
    <phoneticPr fontId="1"/>
  </si>
  <si>
    <t>ｽﾃﾝﾚｽ</t>
  </si>
  <si>
    <t>963161</t>
  </si>
  <si>
    <t>ﾁｰｽﾞ</t>
  </si>
  <si>
    <t>ｽﾄﾘｰﾄｴﾙﾎﾞ</t>
  </si>
  <si>
    <t>ﾌﾟﾗｸﾞ</t>
  </si>
  <si>
    <t>ｷｬｯﾌﾟ</t>
  </si>
  <si>
    <t>ﾌﾞｯｼﾝｸﾞ</t>
  </si>
  <si>
    <t>ｿｹｯﾄ</t>
  </si>
  <si>
    <t>ヶ</t>
    <phoneticPr fontId="1"/>
  </si>
  <si>
    <t>01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</si>
  <si>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</si>
  <si>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</si>
  <si>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</si>
  <si>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</si>
  <si>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</si>
  <si>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</si>
  <si>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</si>
  <si>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</si>
  <si>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</si>
  <si>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</si>
  <si>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</si>
  <si>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</si>
  <si>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</si>
  <si>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</si>
  <si>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</si>
  <si>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</si>
  <si>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</si>
  <si>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</si>
  <si>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</si>
  <si>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</si>
  <si>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</si>
  <si>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</si>
  <si>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</si>
  <si>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</si>
  <si>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</si>
  <si>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</si>
  <si>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</si>
  <si>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</si>
  <si>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巻</t>
    <rPh sb="0" eb="1">
      <t>マキ</t>
    </rPh>
    <phoneticPr fontId="1"/>
  </si>
  <si>
    <t>箱</t>
    <rPh sb="0" eb="1">
      <t>ハコ</t>
    </rPh>
    <phoneticPr fontId="1"/>
  </si>
  <si>
    <t>式</t>
    <rPh sb="0" eb="1">
      <t>シキ</t>
    </rPh>
    <phoneticPr fontId="1"/>
  </si>
  <si>
    <t>台</t>
    <rPh sb="0" eb="1">
      <t>ダイ</t>
    </rPh>
    <phoneticPr fontId="1"/>
  </si>
  <si>
    <t>枚</t>
    <rPh sb="0" eb="1">
      <t>マイ</t>
    </rPh>
    <phoneticPr fontId="1"/>
  </si>
  <si>
    <t>kg</t>
    <phoneticPr fontId="1"/>
  </si>
  <si>
    <t>双</t>
    <rPh sb="0" eb="1">
      <t>ソウ</t>
    </rPh>
    <phoneticPr fontId="1"/>
  </si>
  <si>
    <t>脚</t>
    <rPh sb="0" eb="1">
      <t>キャク</t>
    </rPh>
    <phoneticPr fontId="1"/>
  </si>
  <si>
    <t>束</t>
    <rPh sb="0" eb="1">
      <t>タバ</t>
    </rPh>
    <phoneticPr fontId="1"/>
  </si>
  <si>
    <t>缶</t>
    <rPh sb="0" eb="1">
      <t>カン</t>
    </rPh>
    <phoneticPr fontId="1"/>
  </si>
  <si>
    <t>打</t>
    <rPh sb="0" eb="1">
      <t>ダ</t>
    </rPh>
    <phoneticPr fontId="1"/>
  </si>
  <si>
    <t>名</t>
    <rPh sb="0" eb="1">
      <t>メイ</t>
    </rPh>
    <phoneticPr fontId="1"/>
  </si>
  <si>
    <t>着</t>
    <rPh sb="0" eb="1">
      <t>チャク</t>
    </rPh>
    <phoneticPr fontId="1"/>
  </si>
  <si>
    <t>袋</t>
    <rPh sb="0" eb="1">
      <t>フクロ</t>
    </rPh>
    <phoneticPr fontId="1"/>
  </si>
  <si>
    <t>基</t>
    <rPh sb="0" eb="1">
      <t>モト</t>
    </rPh>
    <phoneticPr fontId="1"/>
  </si>
  <si>
    <t>棟</t>
    <rPh sb="0" eb="1">
      <t>トウ</t>
    </rPh>
    <phoneticPr fontId="1"/>
  </si>
  <si>
    <t>足</t>
    <rPh sb="0" eb="1">
      <t>ソク</t>
    </rPh>
    <phoneticPr fontId="1"/>
  </si>
  <si>
    <t>丁</t>
    <rPh sb="0" eb="1">
      <t>チョウ</t>
    </rPh>
    <phoneticPr fontId="1"/>
  </si>
  <si>
    <t>組</t>
    <rPh sb="0" eb="1">
      <t>クミ</t>
    </rPh>
    <phoneticPr fontId="1"/>
  </si>
  <si>
    <t>冊</t>
    <rPh sb="0" eb="1">
      <t>サツ</t>
    </rPh>
    <phoneticPr fontId="1"/>
  </si>
  <si>
    <t>PK</t>
    <phoneticPr fontId="1"/>
  </si>
  <si>
    <t>h</t>
    <phoneticPr fontId="1"/>
  </si>
  <si>
    <t>ﾕﾆｵﾝ</t>
  </si>
  <si>
    <t>ﾎｰｽﾆｯﾌﾟﾙ</t>
  </si>
  <si>
    <t>ﾎｰｽｼﾞｮｲﾝﾄ</t>
  </si>
  <si>
    <t>SUS304</t>
  </si>
  <si>
    <t>BC</t>
  </si>
  <si>
    <t>ﾗｯﾌﾟｼﾞｮｲﾝﾄ</t>
  </si>
  <si>
    <t>FKK</t>
    <phoneticPr fontId="1"/>
  </si>
  <si>
    <t>963127</t>
    <phoneticPr fontId="1"/>
  </si>
  <si>
    <t>ﾅｺﾞﾔ</t>
    <phoneticPr fontId="1"/>
  </si>
  <si>
    <t>ｱﾑﾄ</t>
    <phoneticPr fontId="1"/>
  </si>
  <si>
    <t>F1</t>
  </si>
  <si>
    <t>F2</t>
  </si>
  <si>
    <t>ｵｰﾙｱﾝｶｰSC</t>
  </si>
  <si>
    <t>T14</t>
  </si>
  <si>
    <t>ｸﾞﾘｽﾆｯﾌﾟﾙ</t>
  </si>
  <si>
    <t>T46</t>
  </si>
  <si>
    <t>P</t>
  </si>
  <si>
    <t>T47</t>
  </si>
  <si>
    <t>T48</t>
  </si>
  <si>
    <t>T19</t>
  </si>
  <si>
    <t>T49</t>
  </si>
  <si>
    <t>ｸﾞﾘｽﾆｯﾌﾟﾙ ﾋﾟﾝﾀｲﾌﾟ</t>
  </si>
  <si>
    <t>T50</t>
  </si>
  <si>
    <t>ｸﾞﾘｽﾆｯﾌﾟﾙ ﾎﾞﾀﾝﾀｲﾌﾟ</t>
  </si>
  <si>
    <t>T51</t>
  </si>
  <si>
    <t>価格表削除</t>
    <rPh sb="0" eb="2">
      <t>カカク</t>
    </rPh>
    <rPh sb="2" eb="3">
      <t>ヒョウ</t>
    </rPh>
    <rPh sb="3" eb="5">
      <t>サクジョ</t>
    </rPh>
    <phoneticPr fontId="1"/>
  </si>
  <si>
    <t>PT1/8</t>
  </si>
  <si>
    <t>PT1/4</t>
  </si>
  <si>
    <t>PT3/8</t>
  </si>
  <si>
    <t>MRRFNI</t>
  </si>
  <si>
    <t>ﾘﾘｰﾌﾆｯﾌﾟﾙ</t>
  </si>
  <si>
    <t>NRN-01K</t>
  </si>
  <si>
    <t>NRN-02K</t>
  </si>
  <si>
    <t>NRN-03K</t>
  </si>
  <si>
    <t>AG</t>
    <phoneticPr fontId="1"/>
  </si>
  <si>
    <t>AK</t>
    <phoneticPr fontId="1"/>
  </si>
  <si>
    <t>F</t>
    <phoneticPr fontId="1"/>
  </si>
  <si>
    <t>AN</t>
    <phoneticPr fontId="1"/>
  </si>
  <si>
    <t>AM</t>
    <phoneticPr fontId="1"/>
  </si>
  <si>
    <t>AS</t>
    <phoneticPr fontId="1"/>
  </si>
  <si>
    <t>AU</t>
    <phoneticPr fontId="1"/>
  </si>
  <si>
    <t>AW</t>
    <phoneticPr fontId="1"/>
  </si>
  <si>
    <t>F3</t>
  </si>
  <si>
    <t>ﾒｯｷ</t>
  </si>
  <si>
    <t>ﾅｲﾛﾝﾌﾟﾗｸﾞ</t>
  </si>
  <si>
    <t>ﾅｲﾛﾝ</t>
  </si>
  <si>
    <t>T1</t>
  </si>
  <si>
    <t>T2</t>
  </si>
  <si>
    <t>T3</t>
  </si>
  <si>
    <t>T4</t>
  </si>
  <si>
    <t>T5</t>
  </si>
  <si>
    <t>ﾌﾗﾝｼﾞ</t>
  </si>
  <si>
    <t>T6</t>
  </si>
  <si>
    <t>T7</t>
  </si>
  <si>
    <t>T8</t>
  </si>
  <si>
    <t>T9</t>
  </si>
  <si>
    <t>T10</t>
  </si>
  <si>
    <t>T11</t>
  </si>
  <si>
    <t>T12</t>
  </si>
  <si>
    <t>T13</t>
  </si>
  <si>
    <t>ﾎﾞｰﾙﾀｯﾌﾟ</t>
  </si>
  <si>
    <t>ﾄｰｾﾞﾝ</t>
  </si>
  <si>
    <t>ﾔﾏﾄｴﾝｼﾞﾆｱﾘﾝｸﾞ</t>
  </si>
  <si>
    <t>NAC</t>
  </si>
  <si>
    <t>ｲﾊﾗｻｲｴﾝｽ</t>
  </si>
  <si>
    <t>T15</t>
  </si>
  <si>
    <t>T16</t>
  </si>
  <si>
    <t>T17</t>
  </si>
  <si>
    <t>HI-TS</t>
  </si>
  <si>
    <t>T18</t>
  </si>
  <si>
    <t>T20</t>
  </si>
  <si>
    <t>T21</t>
  </si>
  <si>
    <t>PT370</t>
  </si>
  <si>
    <t>T23</t>
  </si>
  <si>
    <t>T22</t>
  </si>
  <si>
    <t>T24</t>
  </si>
  <si>
    <t>T25</t>
  </si>
  <si>
    <t>S25C</t>
  </si>
  <si>
    <t>T26</t>
  </si>
  <si>
    <t>T27</t>
  </si>
  <si>
    <t>ｳﾚﾀﾝ</t>
  </si>
  <si>
    <t>T28</t>
  </si>
  <si>
    <t>ﾆｯﾀ</t>
  </si>
  <si>
    <t>T29</t>
  </si>
  <si>
    <t>ｱｵｲ</t>
  </si>
  <si>
    <t>T30</t>
  </si>
  <si>
    <t>AV</t>
  </si>
  <si>
    <t>T31</t>
  </si>
  <si>
    <t>T32</t>
  </si>
  <si>
    <t>ｽｲｺｰ</t>
  </si>
  <si>
    <t>ﾎｰｽ継手</t>
    <rPh sb="3" eb="5">
      <t>ツギテ</t>
    </rPh>
    <phoneticPr fontId="2"/>
  </si>
  <si>
    <t>配管継手</t>
    <rPh sb="0" eb="4">
      <t>ハイカンツギテ</t>
    </rPh>
    <phoneticPr fontId="2"/>
  </si>
  <si>
    <t>銅管継手</t>
    <rPh sb="0" eb="4">
      <t>ドウカンツギテ</t>
    </rPh>
    <phoneticPr fontId="2"/>
  </si>
  <si>
    <t>ﾈｼﾞ継手</t>
    <rPh sb="3" eb="5">
      <t>ツギテ</t>
    </rPh>
    <phoneticPr fontId="2"/>
  </si>
  <si>
    <t>溶接継手</t>
    <rPh sb="0" eb="4">
      <t>ヨウセツツギテ</t>
    </rPh>
    <phoneticPr fontId="2"/>
  </si>
  <si>
    <t>高圧継手</t>
    <rPh sb="0" eb="4">
      <t>コウアツツギテ</t>
    </rPh>
    <phoneticPr fontId="2"/>
  </si>
  <si>
    <t>空圧継手</t>
    <rPh sb="0" eb="2">
      <t>クウアツ</t>
    </rPh>
    <rPh sb="2" eb="4">
      <t>ツギテ</t>
    </rPh>
    <phoneticPr fontId="2"/>
  </si>
  <si>
    <t>ｸｲｺﾐ継手</t>
    <rPh sb="4" eb="6">
      <t>ツギテ</t>
    </rPh>
    <phoneticPr fontId="2"/>
  </si>
  <si>
    <t>塩ﾋﾞ配管</t>
    <rPh sb="0" eb="1">
      <t>エン</t>
    </rPh>
    <rPh sb="3" eb="5">
      <t>ハイカン</t>
    </rPh>
    <phoneticPr fontId="2"/>
  </si>
  <si>
    <t>清水製作所</t>
    <rPh sb="0" eb="5">
      <t>シミズセイサクショ</t>
    </rPh>
    <phoneticPr fontId="2"/>
  </si>
  <si>
    <t>鋼材</t>
    <rPh sb="0" eb="2">
      <t>コウザイ</t>
    </rPh>
    <phoneticPr fontId="2"/>
  </si>
  <si>
    <t>Ｂ1</t>
  </si>
  <si>
    <t>六角穴付ﾎﾞﾙﾄ</t>
    <rPh sb="0" eb="4">
      <t>ロッカクアナツ</t>
    </rPh>
    <phoneticPr fontId="2"/>
  </si>
  <si>
    <t>Ｂ2</t>
  </si>
  <si>
    <t>六角穴付止めﾈｼﾞ</t>
    <rPh sb="0" eb="2">
      <t>ロッカク</t>
    </rPh>
    <rPh sb="2" eb="4">
      <t>アナツ</t>
    </rPh>
    <rPh sb="4" eb="5">
      <t>ト</t>
    </rPh>
    <phoneticPr fontId="2"/>
  </si>
  <si>
    <t>Ｂ3</t>
  </si>
  <si>
    <t>寸切Wｳｨｯﾄ(ｲﾝﾁ)</t>
    <rPh sb="0" eb="2">
      <t>スンキリ</t>
    </rPh>
    <phoneticPr fontId="2"/>
  </si>
  <si>
    <t>Ｂ4</t>
  </si>
  <si>
    <t>寸切</t>
    <rPh sb="0" eb="2">
      <t>スンキリ</t>
    </rPh>
    <phoneticPr fontId="2"/>
  </si>
  <si>
    <t>Ｂ5</t>
  </si>
  <si>
    <t>寸切左ﾈｼﾞ</t>
    <rPh sb="0" eb="2">
      <t>スンキリ</t>
    </rPh>
    <rPh sb="2" eb="3">
      <t>ヒダリ</t>
    </rPh>
    <phoneticPr fontId="2"/>
  </si>
  <si>
    <t>Ｂ6</t>
  </si>
  <si>
    <t>六角ﾎﾞﾙﾄWｳｨｯﾄ(ｲﾝﾁ)</t>
    <rPh sb="0" eb="2">
      <t>ロッカク</t>
    </rPh>
    <phoneticPr fontId="2"/>
  </si>
  <si>
    <t>Ｂ7</t>
  </si>
  <si>
    <t>六角ﾎﾞﾙﾄ</t>
    <rPh sb="0" eb="2">
      <t>ロッカク</t>
    </rPh>
    <phoneticPr fontId="2"/>
  </si>
  <si>
    <t>Ｂ8</t>
  </si>
  <si>
    <t>六角ﾅｯﾄ</t>
    <rPh sb="0" eb="2">
      <t>ロッカク</t>
    </rPh>
    <phoneticPr fontId="2"/>
  </si>
  <si>
    <t>Ｂ9</t>
  </si>
  <si>
    <t>六角ﾅｯﾄWｳｨｯﾄ(ｲﾝﾁ)</t>
    <rPh sb="0" eb="2">
      <t>ロッカク</t>
    </rPh>
    <phoneticPr fontId="2"/>
  </si>
  <si>
    <t>Ｂ10</t>
  </si>
  <si>
    <t>六角ﾅｯﾄ左ﾈｼﾞ</t>
    <rPh sb="0" eb="2">
      <t>ロッカク</t>
    </rPh>
    <rPh sb="5" eb="6">
      <t>ヒダリ</t>
    </rPh>
    <phoneticPr fontId="2"/>
  </si>
  <si>
    <t>Ｂ11</t>
  </si>
  <si>
    <t>高ﾅｯﾄWｳｨｯﾄ(ｲﾝﾁ)</t>
    <rPh sb="0" eb="1">
      <t>タカ</t>
    </rPh>
    <phoneticPr fontId="2"/>
  </si>
  <si>
    <t>Ｂ12</t>
  </si>
  <si>
    <t>高ﾅｯﾄ</t>
    <rPh sb="0" eb="1">
      <t>タカ</t>
    </rPh>
    <phoneticPr fontId="2"/>
  </si>
  <si>
    <t>Ｂ13</t>
  </si>
  <si>
    <t>蝶ﾅｯﾄ</t>
    <rPh sb="0" eb="1">
      <t>チョウ</t>
    </rPh>
    <phoneticPr fontId="2"/>
  </si>
  <si>
    <t>Ｂ14</t>
  </si>
  <si>
    <t>蝶ﾎﾞﾙﾄ</t>
    <rPh sb="0" eb="1">
      <t>チョウ</t>
    </rPh>
    <phoneticPr fontId="2"/>
  </si>
  <si>
    <t>Ｂ15</t>
  </si>
  <si>
    <t>平ﾜｯｼｬｰ</t>
    <rPh sb="0" eb="1">
      <t>ヒラ</t>
    </rPh>
    <phoneticPr fontId="2"/>
  </si>
  <si>
    <t>Ｂ16</t>
  </si>
  <si>
    <t>六角穴付ﾎﾞﾙﾄ用皿ﾊﾞﾈ座金</t>
    <rPh sb="0" eb="4">
      <t>ロッカクアナツ</t>
    </rPh>
    <rPh sb="8" eb="9">
      <t>ヨウ</t>
    </rPh>
    <rPh sb="9" eb="10">
      <t>サラ</t>
    </rPh>
    <rPh sb="13" eb="15">
      <t>ザガネ</t>
    </rPh>
    <phoneticPr fontId="2"/>
  </si>
  <si>
    <t>Ｂ17</t>
  </si>
  <si>
    <t>ｽﾌﾟﾘﾝｸﾞﾜｯｼｬｰ</t>
  </si>
  <si>
    <t>Ｂ18</t>
  </si>
  <si>
    <t>六角穴付ﾎﾞﾙﾄ用ｽﾌﾟﾘﾝｸﾞﾜｯｼｬｰ</t>
    <rPh sb="0" eb="4">
      <t>ロッカクアナツ</t>
    </rPh>
    <rPh sb="8" eb="9">
      <t>ヨウ</t>
    </rPh>
    <phoneticPr fontId="2"/>
  </si>
  <si>
    <t>Ｂ19</t>
  </si>
  <si>
    <t>ﾜｯｼｬｰ</t>
  </si>
  <si>
    <t>Ｂ20</t>
  </si>
  <si>
    <t>小ﾈｼﾞ</t>
    <rPh sb="0" eb="1">
      <t>コ</t>
    </rPh>
    <phoneticPr fontId="2"/>
  </si>
  <si>
    <t>Ｂ21</t>
  </si>
  <si>
    <t>ﾀｯﾋﾟﾝｸﾞﾋﾞｽ</t>
  </si>
  <si>
    <t>Ｂ22</t>
  </si>
  <si>
    <t>ﾄﾞﾘﾙﾈｼﾞ</t>
  </si>
  <si>
    <t>HA1</t>
  </si>
  <si>
    <t>配管支持金具</t>
    <rPh sb="0" eb="2">
      <t>ハイカン</t>
    </rPh>
    <rPh sb="2" eb="6">
      <t>シジカナグ</t>
    </rPh>
    <phoneticPr fontId="2"/>
  </si>
  <si>
    <t>HA2</t>
  </si>
  <si>
    <t>配管支持ｱﾝｸﾞﾙ</t>
    <rPh sb="0" eb="2">
      <t>ハイカン</t>
    </rPh>
    <rPh sb="2" eb="4">
      <t>シジ</t>
    </rPh>
    <phoneticPr fontId="2"/>
  </si>
  <si>
    <t>HA3</t>
  </si>
  <si>
    <t>配管支持ﾚｰﾙ</t>
    <rPh sb="0" eb="2">
      <t>ハイカン</t>
    </rPh>
    <rPh sb="2" eb="4">
      <t>シジ</t>
    </rPh>
    <phoneticPr fontId="2"/>
  </si>
  <si>
    <t>HA4</t>
  </si>
  <si>
    <t>配管支持ｸﾗﾝﾌﾟ</t>
    <rPh sb="0" eb="4">
      <t>ハイカンシジ</t>
    </rPh>
    <phoneticPr fontId="2"/>
  </si>
  <si>
    <t>K1</t>
  </si>
  <si>
    <t>手作業工具</t>
    <rPh sb="0" eb="5">
      <t>テサギョウコウグ</t>
    </rPh>
    <phoneticPr fontId="2"/>
  </si>
  <si>
    <t>K2</t>
  </si>
  <si>
    <t>切断用品</t>
    <rPh sb="0" eb="2">
      <t>セツダン</t>
    </rPh>
    <rPh sb="2" eb="4">
      <t>ヨウヒン</t>
    </rPh>
    <phoneticPr fontId="2"/>
  </si>
  <si>
    <t>K3</t>
  </si>
  <si>
    <t>穴あけ工具</t>
    <rPh sb="0" eb="1">
      <t>アナ</t>
    </rPh>
    <rPh sb="3" eb="5">
      <t>コウグ</t>
    </rPh>
    <phoneticPr fontId="2"/>
  </si>
  <si>
    <t>K4</t>
  </si>
  <si>
    <t>水道･空調配管工具</t>
    <rPh sb="0" eb="2">
      <t>スイドウ</t>
    </rPh>
    <rPh sb="3" eb="7">
      <t>クウチョウハイカン</t>
    </rPh>
    <rPh sb="7" eb="9">
      <t>コウグ</t>
    </rPh>
    <phoneticPr fontId="2"/>
  </si>
  <si>
    <t>K5</t>
  </si>
  <si>
    <t>溶接用品</t>
    <rPh sb="0" eb="4">
      <t>ヨウセツヨウヒン</t>
    </rPh>
    <phoneticPr fontId="2"/>
  </si>
  <si>
    <t>K6</t>
  </si>
  <si>
    <t>電子機器</t>
    <rPh sb="0" eb="4">
      <t>デンシキキ</t>
    </rPh>
    <phoneticPr fontId="2"/>
  </si>
  <si>
    <t>K7</t>
  </si>
  <si>
    <t>保護具</t>
    <rPh sb="0" eb="2">
      <t>ホゴ</t>
    </rPh>
    <rPh sb="2" eb="3">
      <t>グ</t>
    </rPh>
    <phoneticPr fontId="2"/>
  </si>
  <si>
    <t>K8</t>
  </si>
  <si>
    <t>空圧工具</t>
    <rPh sb="0" eb="4">
      <t>クウアツコウグ</t>
    </rPh>
    <phoneticPr fontId="2"/>
  </si>
  <si>
    <t>K9</t>
  </si>
  <si>
    <t>切削工具</t>
    <rPh sb="0" eb="4">
      <t>セッサクコウグ</t>
    </rPh>
    <phoneticPr fontId="2"/>
  </si>
  <si>
    <t>K10</t>
  </si>
  <si>
    <t>ねじ切り工具</t>
    <rPh sb="2" eb="3">
      <t>キ</t>
    </rPh>
    <rPh sb="4" eb="6">
      <t>コウグ</t>
    </rPh>
    <phoneticPr fontId="2"/>
  </si>
  <si>
    <t>K11</t>
  </si>
  <si>
    <t>手作業工具</t>
    <rPh sb="0" eb="3">
      <t>テサギョウ</t>
    </rPh>
    <rPh sb="3" eb="5">
      <t>コウグ</t>
    </rPh>
    <phoneticPr fontId="2"/>
  </si>
  <si>
    <t>K12</t>
  </si>
  <si>
    <t>接着剤・補修剤工具</t>
    <rPh sb="0" eb="3">
      <t>セッチャクザイ</t>
    </rPh>
    <rPh sb="4" eb="6">
      <t>ホシュウ</t>
    </rPh>
    <rPh sb="6" eb="7">
      <t>ザイ</t>
    </rPh>
    <rPh sb="7" eb="9">
      <t>コウグ</t>
    </rPh>
    <phoneticPr fontId="2"/>
  </si>
  <si>
    <t>K13</t>
  </si>
  <si>
    <t>面取り工具</t>
    <rPh sb="0" eb="2">
      <t>メント</t>
    </rPh>
    <rPh sb="3" eb="5">
      <t>コウグ</t>
    </rPh>
    <phoneticPr fontId="2"/>
  </si>
  <si>
    <t>K14</t>
  </si>
  <si>
    <t>鉄工ﾔｽﾘ</t>
    <rPh sb="0" eb="2">
      <t>テッコウ</t>
    </rPh>
    <phoneticPr fontId="2"/>
  </si>
  <si>
    <t>金属系ｱﾝｶｰ</t>
    <rPh sb="0" eb="3">
      <t>キンゾクケイ</t>
    </rPh>
    <phoneticPr fontId="2"/>
  </si>
  <si>
    <t>接着系ｱﾝｶｰ</t>
    <rPh sb="0" eb="3">
      <t>セッチャクケイ</t>
    </rPh>
    <phoneticPr fontId="2"/>
  </si>
  <si>
    <t>UT10</t>
  </si>
  <si>
    <t>ｴｽﾛｺｰﾄLX継手</t>
    <rPh sb="8" eb="10">
      <t>ツギテ</t>
    </rPh>
    <phoneticPr fontId="2"/>
  </si>
  <si>
    <t>UT11</t>
  </si>
  <si>
    <t>ｴﾋﾟｺｰﾄ管継手</t>
    <rPh sb="6" eb="7">
      <t>カン</t>
    </rPh>
    <rPh sb="7" eb="9">
      <t>ツギテ</t>
    </rPh>
    <phoneticPr fontId="2"/>
  </si>
  <si>
    <t>UT12</t>
  </si>
  <si>
    <t>ｻﾞﾙﾎﾞ</t>
  </si>
  <si>
    <t>UT13</t>
  </si>
  <si>
    <t>ﾓﾙｺ</t>
  </si>
  <si>
    <t>UP1</t>
  </si>
  <si>
    <t>INAX</t>
  </si>
  <si>
    <t>UP2</t>
  </si>
  <si>
    <t>ｴｽﾛｶｯﾁﾄ</t>
  </si>
  <si>
    <t>UP3</t>
  </si>
  <si>
    <t>ｴｽﾛﾍﾟｯｸｽ</t>
  </si>
  <si>
    <t>UP4</t>
  </si>
  <si>
    <t>UP5</t>
  </si>
  <si>
    <t>ｴﾋﾟｺｰﾄ管継手</t>
    <rPh sb="6" eb="9">
      <t>カンツギテ</t>
    </rPh>
    <phoneticPr fontId="2"/>
  </si>
  <si>
    <t>UP6</t>
  </si>
  <si>
    <t>ｼｰﾘﾝｸﾞﾌﾟﾚｰﾄ</t>
  </si>
  <si>
    <t>UP7</t>
  </si>
  <si>
    <t>ｼｰﾙﾊﾟｯｷﾝ</t>
  </si>
  <si>
    <t>UP8</t>
  </si>
  <si>
    <t>ﾊｲｽｲﾏｽ</t>
  </si>
  <si>
    <t>UP9</t>
  </si>
  <si>
    <t>ﾏｴｻﾞﾜ ﾊﾞﾙﾌﾞﾎﾞｯｸｽ</t>
  </si>
  <si>
    <t>UP10</t>
  </si>
  <si>
    <t>ﾌｰﾄﾞ弁</t>
    <rPh sb="4" eb="5">
      <t>ベン</t>
    </rPh>
    <phoneticPr fontId="2"/>
  </si>
  <si>
    <t>UP11</t>
  </si>
  <si>
    <t>ﾎﾟﾘﾊﾟｲｼﾞｮｲﾝﾄ</t>
  </si>
  <si>
    <t>UP12</t>
  </si>
  <si>
    <t>ﾚｼﾞｺﾝﾌﾀ･ﾀﾒﾏｽ</t>
  </si>
  <si>
    <t>UP13</t>
  </si>
  <si>
    <t>塩ﾋﾞ掃除口他</t>
    <rPh sb="0" eb="1">
      <t>エン</t>
    </rPh>
    <rPh sb="3" eb="6">
      <t>ソウジクチ</t>
    </rPh>
    <rPh sb="6" eb="7">
      <t>ホカ</t>
    </rPh>
    <phoneticPr fontId="2"/>
  </si>
  <si>
    <t>UP14</t>
  </si>
  <si>
    <t>下水部材</t>
    <rPh sb="0" eb="2">
      <t>ゲスイ</t>
    </rPh>
    <rPh sb="2" eb="4">
      <t>ブザイ</t>
    </rPh>
    <phoneticPr fontId="2"/>
  </si>
  <si>
    <t>UP15</t>
  </si>
  <si>
    <t>黒ｺﾞﾑ球</t>
    <rPh sb="0" eb="1">
      <t>クロ</t>
    </rPh>
    <rPh sb="4" eb="5">
      <t>キュウ</t>
    </rPh>
    <phoneticPr fontId="2"/>
  </si>
  <si>
    <t>UP16</t>
  </si>
  <si>
    <t>ｴｽﾛﾝ水栓柱</t>
    <rPh sb="4" eb="7">
      <t>スイセンチュウ</t>
    </rPh>
    <phoneticPr fontId="2"/>
  </si>
  <si>
    <t>UP17</t>
  </si>
  <si>
    <t>増結ﾘﾝｸﾞ</t>
    <rPh sb="0" eb="2">
      <t>ゾウケツ</t>
    </rPh>
    <phoneticPr fontId="2"/>
  </si>
  <si>
    <t>UP18</t>
  </si>
  <si>
    <t>偏芯ｲﾝｸﾘｰｻﾞｰ･S型ｿｹｯﾄ</t>
    <rPh sb="0" eb="2">
      <t>ヘンシン</t>
    </rPh>
    <rPh sb="12" eb="16">
      <t>ソケット</t>
    </rPh>
    <phoneticPr fontId="2"/>
  </si>
  <si>
    <t>UP19</t>
  </si>
  <si>
    <t>偏心ﾌﾞｯｼｭ</t>
    <rPh sb="0" eb="2">
      <t>ヘンシン</t>
    </rPh>
    <phoneticPr fontId="2"/>
  </si>
  <si>
    <t>UC1</t>
  </si>
  <si>
    <t>ｵｲﾙｼｰﾙ</t>
  </si>
  <si>
    <t>UC2</t>
  </si>
  <si>
    <t>朝顔ﾊﾝﾄﾞﾙ</t>
    <rPh sb="0" eb="2">
      <t>アサガオ</t>
    </rPh>
    <phoneticPr fontId="2"/>
  </si>
  <si>
    <t>UC3</t>
  </si>
  <si>
    <t>S45C頭付ﾂｷｰ</t>
    <rPh sb="4" eb="6">
      <t>アタマツキ</t>
    </rPh>
    <phoneticPr fontId="2"/>
  </si>
  <si>
    <t>UK1</t>
  </si>
  <si>
    <t>ｽｰﾊﾟｰｸﾗﾝﾌﾟ</t>
  </si>
  <si>
    <t>UH1</t>
  </si>
  <si>
    <t>ｸﾞﾗｽｳｰﾙ保温筒</t>
    <rPh sb="7" eb="9">
      <t>ホオン</t>
    </rPh>
    <rPh sb="9" eb="10">
      <t>ツツ</t>
    </rPh>
    <phoneticPr fontId="2"/>
  </si>
  <si>
    <t>UH2</t>
  </si>
  <si>
    <t>ｻｶｲ変速ﾍﾞﾙﾄ</t>
    <rPh sb="3" eb="5">
      <t>ヘンソク</t>
    </rPh>
    <phoneticPr fontId="2"/>
  </si>
  <si>
    <t>UH3</t>
  </si>
  <si>
    <t>ﾊﾟｲﾌﾟｶﾞｰﾄﾞ</t>
  </si>
  <si>
    <t>UH4</t>
  </si>
  <si>
    <t>ﾊﾟﾚﾃｰﾅ</t>
  </si>
  <si>
    <t>UH5</t>
  </si>
  <si>
    <t>ﾋﾟｱﾉ線</t>
    <rPh sb="4" eb="5">
      <t>セン</t>
    </rPh>
    <phoneticPr fontId="2"/>
  </si>
  <si>
    <t>UH6</t>
  </si>
  <si>
    <t>ﾔﾅｾ ｾﾌﾞﾝｸｰﾙ他</t>
    <rPh sb="11" eb="12">
      <t>ホカ</t>
    </rPh>
    <phoneticPr fontId="2"/>
  </si>
  <si>
    <t>UH7</t>
  </si>
  <si>
    <t>塩ﾋﾞ 溶接棒</t>
    <rPh sb="0" eb="1">
      <t>エン</t>
    </rPh>
    <rPh sb="4" eb="7">
      <t>ヨウセツボウ</t>
    </rPh>
    <phoneticPr fontId="2"/>
  </si>
  <si>
    <t>UH8</t>
  </si>
  <si>
    <t>穴あきVﾍﾞﾙﾄ</t>
    <rPh sb="0" eb="1">
      <t>アナ</t>
    </rPh>
    <phoneticPr fontId="2"/>
  </si>
  <si>
    <t>UH9</t>
  </si>
  <si>
    <t>UH10</t>
  </si>
  <si>
    <t>新幹線印 組ﾛｰﾌﾟ</t>
    <rPh sb="0" eb="3">
      <t>シンカンセン</t>
    </rPh>
    <rPh sb="3" eb="4">
      <t>シルシ</t>
    </rPh>
    <rPh sb="5" eb="6">
      <t>クミ</t>
    </rPh>
    <phoneticPr fontId="2"/>
  </si>
  <si>
    <t>UB1</t>
  </si>
  <si>
    <t>ﾀｰﾝﾊﾞｯｸﾙ</t>
  </si>
  <si>
    <t>UB2</t>
  </si>
  <si>
    <t>ﾉﾌﾞﾎﾞﾙﾄ</t>
  </si>
  <si>
    <t>UB3</t>
  </si>
  <si>
    <t>ﾊｲﾃﾝｼｮﾝ ﾄﾙｼｬﾎﾞﾙﾄ</t>
  </si>
  <si>
    <t>KB1</t>
  </si>
  <si>
    <t>機械部品</t>
    <rPh sb="0" eb="2">
      <t>キカイ</t>
    </rPh>
    <rPh sb="2" eb="4">
      <t>ブヒン</t>
    </rPh>
    <phoneticPr fontId="2"/>
  </si>
  <si>
    <t>ﾍﾞﾙﾄ</t>
  </si>
  <si>
    <t>ｶｯﾌﾟﾘﾝｸﾞ</t>
  </si>
  <si>
    <t>C3</t>
  </si>
  <si>
    <t>ｽﾌﾟﾛｹｯﾄ</t>
  </si>
  <si>
    <t>C4</t>
  </si>
  <si>
    <t>ﾌﾗﾝｼﾞ形ﾀﾜﾐ軸継手</t>
    <rPh sb="5" eb="6">
      <t>カタチ</t>
    </rPh>
    <rPh sb="9" eb="12">
      <t>ジクツギテ</t>
    </rPh>
    <phoneticPr fontId="2"/>
  </si>
  <si>
    <t>C5</t>
  </si>
  <si>
    <t>ﾌﾟﾗﾝﾏﾌﾞﾛｯｸ</t>
  </si>
  <si>
    <t>C6</t>
  </si>
  <si>
    <t>ﾛｰﾗｰﾁｪｰﾝ</t>
  </si>
  <si>
    <t>C7</t>
  </si>
  <si>
    <t>ﾛｰﾗｰﾁｪｰﾝ継手</t>
    <rPh sb="8" eb="10">
      <t>ツギテ</t>
    </rPh>
    <phoneticPr fontId="2"/>
  </si>
  <si>
    <t>C8</t>
  </si>
  <si>
    <t>ﾗﾑﾀﾞﾛｰﾗｰﾁｪｰﾝ</t>
  </si>
  <si>
    <t>C9</t>
  </si>
  <si>
    <t>ﾗﾑﾀﾞﾛｰﾗｰﾁｪｰﾝ継手</t>
    <rPh sb="12" eb="14">
      <t>ツギテ</t>
    </rPh>
    <phoneticPr fontId="2"/>
  </si>
  <si>
    <t>C10</t>
  </si>
  <si>
    <t>ﾁｪｰﾝｶｯﾌﾟﾘﾝｸﾞ</t>
  </si>
  <si>
    <t>C11</t>
  </si>
  <si>
    <t>ﾄﾞﾗｲﾍﾞｱﾘﾝｸﾞ</t>
  </si>
  <si>
    <t>C12</t>
  </si>
  <si>
    <t>ﾍﾞｱﾘﾝｸﾞﾅｯﾄ</t>
  </si>
  <si>
    <t>C13</t>
  </si>
  <si>
    <t>ﾍﾞｱﾘﾝｸﾞﾜｯｼｬｰ</t>
  </si>
  <si>
    <t>C14</t>
  </si>
  <si>
    <t>ｱﾀﾞﾌﾟﾀ</t>
  </si>
  <si>
    <t>C15</t>
  </si>
  <si>
    <t>逆ｽﾘｰﾌﾞ</t>
    <rPh sb="0" eb="1">
      <t>ギャク</t>
    </rPh>
    <phoneticPr fontId="2"/>
  </si>
  <si>
    <t>BE1</t>
  </si>
  <si>
    <t>ﾍﾞｱﾘﾝｸﾞ</t>
  </si>
  <si>
    <t>BE2</t>
  </si>
  <si>
    <t>ﾋﾟﾛｰﾌﾞﾛｯｸ</t>
  </si>
  <si>
    <t>BE3</t>
  </si>
  <si>
    <t>ﾋﾟﾛｰ</t>
  </si>
  <si>
    <t>PA1</t>
  </si>
  <si>
    <t>ﾊﾟｲﾌﾟ</t>
  </si>
  <si>
    <t>NY1</t>
  </si>
  <si>
    <t>荷役用品</t>
    <rPh sb="0" eb="2">
      <t>ニヤク</t>
    </rPh>
    <rPh sb="2" eb="4">
      <t>ヨウヒン</t>
    </rPh>
    <phoneticPr fontId="2"/>
  </si>
  <si>
    <t>SK1</t>
  </si>
  <si>
    <t>測量用品</t>
    <rPh sb="0" eb="2">
      <t>ソクリョウ</t>
    </rPh>
    <rPh sb="2" eb="4">
      <t>ヨウヒン</t>
    </rPh>
    <phoneticPr fontId="2"/>
  </si>
  <si>
    <t>SK2</t>
  </si>
  <si>
    <t>測定工具</t>
    <rPh sb="0" eb="4">
      <t>ソクテイコウグ</t>
    </rPh>
    <phoneticPr fontId="2"/>
  </si>
  <si>
    <t>SK3</t>
  </si>
  <si>
    <t>工作機工具</t>
    <rPh sb="0" eb="3">
      <t>コウサクキ</t>
    </rPh>
    <rPh sb="3" eb="5">
      <t>コウグ</t>
    </rPh>
    <phoneticPr fontId="2"/>
  </si>
  <si>
    <t>KS1</t>
  </si>
  <si>
    <t>金物建築資材</t>
    <rPh sb="0" eb="2">
      <t>カナモノ</t>
    </rPh>
    <rPh sb="2" eb="6">
      <t>ケンチクシザイ</t>
    </rPh>
    <phoneticPr fontId="2"/>
  </si>
  <si>
    <t>PK1</t>
  </si>
  <si>
    <t>ﾊﾟｯｷﾝ</t>
  </si>
  <si>
    <t>H19</t>
  </si>
  <si>
    <t>ﾋﾞﾆｰﾙﾃｰﾌﾟ</t>
  </si>
  <si>
    <t>H12</t>
  </si>
  <si>
    <t>ﾎｰｽ</t>
  </si>
  <si>
    <t>H22</t>
  </si>
  <si>
    <t>H25</t>
  </si>
  <si>
    <t>ﾗｲﾄｶﾊﾞｰ</t>
  </si>
  <si>
    <t>H31</t>
  </si>
  <si>
    <t>接着剤</t>
    <rPh sb="0" eb="3">
      <t>セッチャクザイ</t>
    </rPh>
    <phoneticPr fontId="2"/>
  </si>
  <si>
    <t>H32</t>
  </si>
  <si>
    <t>砥石</t>
    <rPh sb="0" eb="2">
      <t>トイシ</t>
    </rPh>
    <phoneticPr fontId="2"/>
  </si>
  <si>
    <t>H33</t>
  </si>
  <si>
    <t>H34</t>
  </si>
  <si>
    <t>H38</t>
  </si>
  <si>
    <t>TE1</t>
  </si>
  <si>
    <t>ﾆﾄﾌﾛﾝ粘着ﾃｰﾌﾟ</t>
    <rPh sb="5" eb="7">
      <t>ネンチャク</t>
    </rPh>
    <phoneticPr fontId="2"/>
  </si>
  <si>
    <t>KU1</t>
  </si>
  <si>
    <t>空圧用品</t>
    <rPh sb="0" eb="2">
      <t>クウアツ</t>
    </rPh>
    <rPh sb="2" eb="4">
      <t>ヨウヒン</t>
    </rPh>
    <phoneticPr fontId="2"/>
  </si>
  <si>
    <t>VA1</t>
  </si>
  <si>
    <t>ｸﾞﾛｰﾌﾞﾊﾞﾙﾌﾞ</t>
  </si>
  <si>
    <t>VA2</t>
  </si>
  <si>
    <t>ｹﾞｰﾄﾊﾞﾙﾌﾞ</t>
  </si>
  <si>
    <t>VA3</t>
  </si>
  <si>
    <t>ﾎﾞｰﾙﾊﾞﾙﾌﾞ</t>
  </si>
  <si>
    <t>VA4</t>
  </si>
  <si>
    <t>ﾘﾌﾄﾁｬｯｷ</t>
  </si>
  <si>
    <t>VA5</t>
  </si>
  <si>
    <t>ｽｲﾝｸﾞﾁｬｯｷ</t>
  </si>
  <si>
    <t>VA6</t>
  </si>
  <si>
    <t>Y形ｽﾄﾚｰﾅ</t>
    <rPh sb="1" eb="2">
      <t>カタチ</t>
    </rPh>
    <phoneticPr fontId="2"/>
  </si>
  <si>
    <t>VA7</t>
  </si>
  <si>
    <t>3方弁</t>
    <rPh sb="1" eb="3">
      <t>ホウベン</t>
    </rPh>
    <phoneticPr fontId="2"/>
  </si>
  <si>
    <t>VA8</t>
  </si>
  <si>
    <t>ﾊﾞﾀﾌﾗｲﾊﾞﾙﾌﾞ</t>
  </si>
  <si>
    <t>FU1</t>
  </si>
  <si>
    <t>ﾌﾚｷｼﾌﾞﾙﾁｭｰﾌﾞ</t>
  </si>
  <si>
    <t>A1</t>
  </si>
  <si>
    <t>ｽﾀｰｹﾞｰｼﾞ(汎用圧力計)</t>
    <rPh sb="9" eb="11">
      <t>ハンヨウ</t>
    </rPh>
    <rPh sb="11" eb="14">
      <t>アツリョクケイ</t>
    </rPh>
    <phoneticPr fontId="2"/>
  </si>
  <si>
    <t>A2</t>
  </si>
  <si>
    <t>ｽﾀｰｹﾞｰｼﾞ(汎用真空計)</t>
    <rPh sb="9" eb="11">
      <t>ハンヨウ</t>
    </rPh>
    <rPh sb="12" eb="13">
      <t>）</t>
    </rPh>
    <phoneticPr fontId="2"/>
  </si>
  <si>
    <t>A3</t>
  </si>
  <si>
    <t>圧力計用ｱｸｾｻﾘｰ</t>
    <rPh sb="0" eb="3">
      <t>アツリョクケイ</t>
    </rPh>
    <rPh sb="3" eb="4">
      <t>ヨウ</t>
    </rPh>
    <phoneticPr fontId="2"/>
  </si>
  <si>
    <t>KT1</t>
  </si>
  <si>
    <t>ｸﾗﾝﾌﾟ継手</t>
    <rPh sb="5" eb="7">
      <t>ツギテ</t>
    </rPh>
    <phoneticPr fontId="2"/>
  </si>
  <si>
    <t>H28</t>
  </si>
  <si>
    <t>高圧ﾎｰｽ：計算方法</t>
    <rPh sb="0" eb="2">
      <t>コウアツ</t>
    </rPh>
    <rPh sb="6" eb="8">
      <t>ケイサン</t>
    </rPh>
    <rPh sb="8" eb="10">
      <t>ホウホウ</t>
    </rPh>
    <phoneticPr fontId="2"/>
  </si>
  <si>
    <t>H45</t>
  </si>
  <si>
    <t>ｵｲﾙﾄﾞﾗｲﾊﾟｯﾄﾞ：小箱売・ﾊﾞﾗ売</t>
    <rPh sb="13" eb="15">
      <t>コバコ</t>
    </rPh>
    <rPh sb="15" eb="16">
      <t>ウ</t>
    </rPh>
    <rPh sb="20" eb="21">
      <t>ウ</t>
    </rPh>
    <phoneticPr fontId="2"/>
  </si>
  <si>
    <t>H43</t>
  </si>
  <si>
    <t>溶接棒：商品ｺｰﾄﾞ単位入力方法</t>
    <rPh sb="0" eb="3">
      <t>ヨウセツボウ</t>
    </rPh>
    <rPh sb="4" eb="6">
      <t>ショウヒン</t>
    </rPh>
    <rPh sb="10" eb="12">
      <t>タンイ</t>
    </rPh>
    <rPh sb="12" eb="14">
      <t>ニュウリョク</t>
    </rPh>
    <rPh sb="14" eb="16">
      <t>ホウホウ</t>
    </rPh>
    <phoneticPr fontId="2"/>
  </si>
  <si>
    <t>樹脂</t>
    <rPh sb="0" eb="2">
      <t>ジュシ</t>
    </rPh>
    <phoneticPr fontId="2"/>
  </si>
  <si>
    <t>塩ﾋﾞ</t>
    <rPh sb="0" eb="1">
      <t>エン</t>
    </rPh>
    <phoneticPr fontId="2"/>
  </si>
  <si>
    <t>日東工器</t>
    <rPh sb="0" eb="4">
      <t>ニットウコウキ</t>
    </rPh>
    <phoneticPr fontId="2"/>
  </si>
  <si>
    <t>正和</t>
    <rPh sb="0" eb="2">
      <t>ショウワ</t>
    </rPh>
    <phoneticPr fontId="2"/>
  </si>
  <si>
    <t>小池酸素工業</t>
    <rPh sb="0" eb="4">
      <t>コイケサンソ</t>
    </rPh>
    <rPh sb="4" eb="6">
      <t>コウギョウ</t>
    </rPh>
    <phoneticPr fontId="2"/>
  </si>
  <si>
    <t>川西水道機器</t>
    <rPh sb="0" eb="6">
      <t>カワニシスイドウキキ</t>
    </rPh>
    <phoneticPr fontId="2"/>
  </si>
  <si>
    <t>三興ﾏﾃﾘｱﾙｻﾌﾟﾗｲ</t>
    <rPh sb="0" eb="2">
      <t>サンコウ</t>
    </rPh>
    <phoneticPr fontId="2"/>
  </si>
  <si>
    <t>TS</t>
  </si>
  <si>
    <t>SS鉄</t>
    <rPh sb="2" eb="3">
      <t>テツ</t>
    </rPh>
    <phoneticPr fontId="2"/>
  </si>
  <si>
    <t>SGP黒</t>
    <rPh sb="3" eb="4">
      <t>クロ</t>
    </rPh>
    <phoneticPr fontId="2"/>
  </si>
  <si>
    <t>SGP白</t>
    <rPh sb="3" eb="4">
      <t>シロ</t>
    </rPh>
    <phoneticPr fontId="2"/>
  </si>
  <si>
    <t>FC鋳鉄</t>
    <rPh sb="2" eb="4">
      <t>チュウテツ</t>
    </rPh>
    <phoneticPr fontId="2"/>
  </si>
  <si>
    <t>FCDﾀﾞｸﾀｲﾙ鋳鉄</t>
    <rPh sb="9" eb="11">
      <t>チュウテツ</t>
    </rPh>
    <phoneticPr fontId="2"/>
  </si>
  <si>
    <t>兼工業</t>
    <rPh sb="0" eb="1">
      <t>カ</t>
    </rPh>
    <rPh sb="1" eb="3">
      <t>コウギョウ</t>
    </rPh>
    <phoneticPr fontId="2"/>
  </si>
  <si>
    <t>SCM435</t>
  </si>
  <si>
    <t>ﾕﾆｸﾛ</t>
  </si>
  <si>
    <t>S45C(H)</t>
  </si>
  <si>
    <t>S45C(H)ﾕﾆｸﾛ</t>
  </si>
  <si>
    <t>SS鉄生地</t>
    <rPh sb="2" eb="3">
      <t>テツ</t>
    </rPh>
    <rPh sb="3" eb="5">
      <t>キジ</t>
    </rPh>
    <phoneticPr fontId="2"/>
  </si>
  <si>
    <t>昭和ｺｰﾎﾟﾚｰｼｮﾝ</t>
    <rPh sb="0" eb="2">
      <t>ショウワ</t>
    </rPh>
    <phoneticPr fontId="2"/>
  </si>
  <si>
    <t>日新工業所</t>
    <rPh sb="0" eb="2">
      <t>ニッシン</t>
    </rPh>
    <rPh sb="2" eb="5">
      <t>コウギョウショ</t>
    </rPh>
    <phoneticPr fontId="2"/>
  </si>
  <si>
    <t>Ｋ1</t>
  </si>
  <si>
    <t>ﾄﾈ</t>
  </si>
  <si>
    <t>ｴﾋﾞ</t>
  </si>
  <si>
    <t>ﾓﾄﾕｷ</t>
  </si>
  <si>
    <t>ﾌﾟﾗｲﾑﾃｯｸ</t>
  </si>
  <si>
    <t>ｱﾗｲﾄﾞﾏﾃﾘｱﾙ</t>
  </si>
  <si>
    <t>三立電器工業</t>
    <rPh sb="0" eb="6">
      <t>サンリツデンキコウギョウ</t>
    </rPh>
    <phoneticPr fontId="2"/>
  </si>
  <si>
    <t>ﾔﾏﾄ産業</t>
    <rPh sb="3" eb="5">
      <t>サンギョウ</t>
    </rPh>
    <phoneticPr fontId="2"/>
  </si>
  <si>
    <t>千代田精機</t>
    <rPh sb="0" eb="5">
      <t>チヨダセイキ</t>
    </rPh>
    <phoneticPr fontId="2"/>
  </si>
  <si>
    <t>山本光学</t>
    <rPh sb="0" eb="4">
      <t>ヤマモトコウガク</t>
    </rPh>
    <phoneticPr fontId="2"/>
  </si>
  <si>
    <t>REX</t>
  </si>
  <si>
    <t>ﾌﾟﾘﾝｽ</t>
  </si>
  <si>
    <t>近畿製作所</t>
    <rPh sb="0" eb="2">
      <t>キンキ</t>
    </rPh>
    <rPh sb="2" eb="5">
      <t>セイサクショ</t>
    </rPh>
    <phoneticPr fontId="2"/>
  </si>
  <si>
    <t>有光工業</t>
    <rPh sb="0" eb="4">
      <t>アリミツコウギョウ</t>
    </rPh>
    <phoneticPr fontId="2"/>
  </si>
  <si>
    <t>K15</t>
  </si>
  <si>
    <t>大見工業</t>
    <rPh sb="0" eb="2">
      <t>オオミ</t>
    </rPh>
    <rPh sb="2" eb="4">
      <t>コウギョウ</t>
    </rPh>
    <phoneticPr fontId="2"/>
  </si>
  <si>
    <t>K16</t>
  </si>
  <si>
    <t>ｸﾞｰﾘﾝｸﾞ</t>
  </si>
  <si>
    <t>K17</t>
  </si>
  <si>
    <t>ﾐﾔﾅｶﾞ</t>
  </si>
  <si>
    <t>K18</t>
  </si>
  <si>
    <t>ﾅﾁ</t>
  </si>
  <si>
    <t>K19</t>
  </si>
  <si>
    <t>K20</t>
  </si>
  <si>
    <t>ﾚﾁﾞﾄﾝ</t>
  </si>
  <si>
    <t>K21</t>
  </si>
  <si>
    <t>OSG</t>
  </si>
  <si>
    <t>K22</t>
  </si>
  <si>
    <t>日本ｽﾌﾟﾘｭｰ</t>
    <rPh sb="0" eb="2">
      <t>ニホン</t>
    </rPh>
    <phoneticPr fontId="2"/>
  </si>
  <si>
    <t>K23</t>
  </si>
  <si>
    <t>ｶｸﾀﾞｲ</t>
  </si>
  <si>
    <t>K24</t>
  </si>
  <si>
    <t>ﾑﾗｷ</t>
  </si>
  <si>
    <t>K25</t>
  </si>
  <si>
    <t>岡崎精工</t>
    <rPh sb="0" eb="4">
      <t>オカザキセイコウ</t>
    </rPh>
    <phoneticPr fontId="2"/>
  </si>
  <si>
    <t>K26</t>
  </si>
  <si>
    <t>岡部工具製作所</t>
    <rPh sb="0" eb="2">
      <t>オカベ</t>
    </rPh>
    <rPh sb="2" eb="7">
      <t>コウグセイサクショ</t>
    </rPh>
    <phoneticPr fontId="2"/>
  </si>
  <si>
    <t>K27</t>
  </si>
  <si>
    <t>ASH(旭金属工業)</t>
    <rPh sb="4" eb="5">
      <t>アサヒ</t>
    </rPh>
    <rPh sb="5" eb="9">
      <t>キンゾクコウギョウ</t>
    </rPh>
    <phoneticPr fontId="2"/>
  </si>
  <si>
    <t>K28</t>
  </si>
  <si>
    <t>ｴｲﾄ</t>
  </si>
  <si>
    <t>K29</t>
  </si>
  <si>
    <t>ﾍﾞｯｾﾙ</t>
  </si>
  <si>
    <t>K30</t>
  </si>
  <si>
    <t>ﾂﾎﾞｻﾝ</t>
  </si>
  <si>
    <t>K31</t>
  </si>
  <si>
    <t>ﾌｼﾞ矢</t>
    <rPh sb="3" eb="4">
      <t>ヤ</t>
    </rPh>
    <phoneticPr fontId="2"/>
  </si>
  <si>
    <t>K32</t>
  </si>
  <si>
    <t>SKC</t>
  </si>
  <si>
    <t>前田工繊</t>
    <rPh sb="0" eb="2">
      <t>マエダ</t>
    </rPh>
    <rPh sb="2" eb="3">
      <t>コウ</t>
    </rPh>
    <phoneticPr fontId="2"/>
  </si>
  <si>
    <t>日本ﾃﾞｺﾗｯｸｽ</t>
    <rPh sb="0" eb="2">
      <t>ニホン</t>
    </rPh>
    <phoneticPr fontId="2"/>
  </si>
  <si>
    <t>S45C-Q</t>
  </si>
  <si>
    <t>KB2</t>
  </si>
  <si>
    <t>KB3</t>
  </si>
  <si>
    <t>KB4</t>
  </si>
  <si>
    <t>S45C</t>
  </si>
  <si>
    <t>KB5</t>
  </si>
  <si>
    <t>富士精密</t>
    <rPh sb="0" eb="4">
      <t>フジセイミツ</t>
    </rPh>
    <phoneticPr fontId="2"/>
  </si>
  <si>
    <t>KB6</t>
  </si>
  <si>
    <t>旭精工(ASAHI)</t>
    <rPh sb="0" eb="3">
      <t>アサヒセイコウ</t>
    </rPh>
    <phoneticPr fontId="2"/>
  </si>
  <si>
    <t>三ﾂ星ﾍﾞﾙﾄ</t>
    <rPh sb="0" eb="1">
      <t>サン</t>
    </rPh>
    <rPh sb="2" eb="3">
      <t>ホシ</t>
    </rPh>
    <phoneticPr fontId="2"/>
  </si>
  <si>
    <t>三興製作所</t>
    <rPh sb="0" eb="5">
      <t>サンコウセイサクショ</t>
    </rPh>
    <phoneticPr fontId="2"/>
  </si>
  <si>
    <t>ｶﾈﾐﾂ</t>
  </si>
  <si>
    <t>TOYO</t>
  </si>
  <si>
    <t>TOHO</t>
  </si>
  <si>
    <t>椿本ﾁｴｲﾝ</t>
    <rPh sb="0" eb="2">
      <t>ツバキモト</t>
    </rPh>
    <phoneticPr fontId="2"/>
  </si>
  <si>
    <t>大同ﾒﾀﾙ工業</t>
    <rPh sb="0" eb="2">
      <t>ダイドウ</t>
    </rPh>
    <rPh sb="5" eb="7">
      <t>コウギョウ</t>
    </rPh>
    <phoneticPr fontId="2"/>
  </si>
  <si>
    <t>NTN</t>
  </si>
  <si>
    <t>KSM(南口精工)</t>
    <rPh sb="4" eb="6">
      <t>ミナミグチ</t>
    </rPh>
    <rPh sb="6" eb="8">
      <t>セイコウ</t>
    </rPh>
    <phoneticPr fontId="2"/>
  </si>
  <si>
    <t>NSK(日本精工)</t>
    <rPh sb="4" eb="8">
      <t>ニッポンセイコウ</t>
    </rPh>
    <phoneticPr fontId="2"/>
  </si>
  <si>
    <t>PA2</t>
  </si>
  <si>
    <t>PA3</t>
  </si>
  <si>
    <t>STPG黒</t>
    <rPh sb="4" eb="5">
      <t>クロ</t>
    </rPh>
    <phoneticPr fontId="2"/>
  </si>
  <si>
    <t>PA4</t>
  </si>
  <si>
    <t>PA5</t>
  </si>
  <si>
    <t>VPW</t>
  </si>
  <si>
    <t>PA6</t>
  </si>
  <si>
    <t>VP</t>
  </si>
  <si>
    <t>PA7</t>
  </si>
  <si>
    <t>VU</t>
  </si>
  <si>
    <t>PA8</t>
  </si>
  <si>
    <t>HIVPW</t>
  </si>
  <si>
    <t>PA9</t>
  </si>
  <si>
    <t>HT</t>
  </si>
  <si>
    <t>EPDM成形品PTFE被覆</t>
    <rPh sb="4" eb="7">
      <t>セイケイヒン</t>
    </rPh>
    <rPh sb="11" eb="13">
      <t>ヒフク</t>
    </rPh>
    <phoneticPr fontId="2"/>
  </si>
  <si>
    <t>PK2</t>
  </si>
  <si>
    <t>EPDM</t>
  </si>
  <si>
    <t>PK3</t>
  </si>
  <si>
    <t>V#6502耐熱</t>
    <rPh sb="6" eb="8">
      <t>タイネツ</t>
    </rPh>
    <phoneticPr fontId="2"/>
  </si>
  <si>
    <t>PK4</t>
  </si>
  <si>
    <t>D6000</t>
  </si>
  <si>
    <t>PK5</t>
  </si>
  <si>
    <t>T#1995</t>
  </si>
  <si>
    <t>PK6</t>
  </si>
  <si>
    <t>ｸﾞﾗﾝﾄﾞﾊﾟｯｷﾝ</t>
  </si>
  <si>
    <t>PK7</t>
  </si>
  <si>
    <t>ﾋﾟﾗｰ</t>
  </si>
  <si>
    <t>NY2</t>
  </si>
  <si>
    <t>NY3</t>
  </si>
  <si>
    <t>ｷﾄｰ</t>
  </si>
  <si>
    <t>ｼﾝﾜ</t>
  </si>
  <si>
    <t>ﾋﾟｰｺｯｸ</t>
  </si>
  <si>
    <t>DIA(永井ｹﾞｰｼﾞ製作所)</t>
    <rPh sb="4" eb="6">
      <t>ナガイ</t>
    </rPh>
    <rPh sb="11" eb="14">
      <t>セイサクショ</t>
    </rPh>
    <phoneticPr fontId="2"/>
  </si>
  <si>
    <t>SK4</t>
  </si>
  <si>
    <t>ｱｻﾋ</t>
  </si>
  <si>
    <t>SK5</t>
  </si>
  <si>
    <t>KDS(ﾑﾗﾃｯｸ)</t>
  </si>
  <si>
    <t>SK6</t>
  </si>
  <si>
    <t>ﾐﾂﾄﾖ</t>
  </si>
  <si>
    <t>SK7</t>
  </si>
  <si>
    <t>ﾃｸﾉﾌﾟﾗﾝ</t>
  </si>
  <si>
    <t>KS2</t>
  </si>
  <si>
    <t>ﾀｷｹﾞﾝ</t>
  </si>
  <si>
    <t>日東電工</t>
    <rPh sb="0" eb="2">
      <t>ニットウ</t>
    </rPh>
    <rPh sb="2" eb="4">
      <t>デンコウ</t>
    </rPh>
    <phoneticPr fontId="2"/>
  </si>
  <si>
    <t>CKD</t>
  </si>
  <si>
    <t>KITZ</t>
  </si>
  <si>
    <t>TOA(東亜ﾊﾞﾙﾌﾞ工業)</t>
    <rPh sb="4" eb="6">
      <t>トウア</t>
    </rPh>
    <rPh sb="11" eb="13">
      <t>コウギョウ</t>
    </rPh>
    <phoneticPr fontId="2"/>
  </si>
  <si>
    <t>ﾃｸﾉﾌﾚｯｸｽ</t>
  </si>
  <si>
    <t>右下精器</t>
    <rPh sb="0" eb="2">
      <t>ミギシタ</t>
    </rPh>
    <rPh sb="2" eb="4">
      <t>セイキ</t>
    </rPh>
    <phoneticPr fontId="2"/>
  </si>
  <si>
    <t>新光産業</t>
    <rPh sb="0" eb="4">
      <t>シンコウサンギョウ</t>
    </rPh>
    <phoneticPr fontId="2"/>
  </si>
  <si>
    <t>ﾒｰｶｰ名</t>
    <rPh sb="4" eb="5">
      <t>メイ</t>
    </rPh>
    <phoneticPr fontId="1"/>
  </si>
  <si>
    <t>材質</t>
    <rPh sb="0" eb="2">
      <t>ザイシツ</t>
    </rPh>
    <phoneticPr fontId="1"/>
  </si>
  <si>
    <t>商品名</t>
    <rPh sb="0" eb="3">
      <t>ショウヒンメイ</t>
    </rPh>
    <phoneticPr fontId="1"/>
  </si>
  <si>
    <t>定価</t>
    <rPh sb="0" eb="2">
      <t>テイカ</t>
    </rPh>
    <phoneticPr fontId="1"/>
  </si>
  <si>
    <t>異径ﾁｰｽﾞ</t>
    <rPh sb="0" eb="2">
      <t>イケイ</t>
    </rPh>
    <phoneticPr fontId="2"/>
  </si>
  <si>
    <t>異径ｿｹｯﾄ</t>
    <rPh sb="0" eb="2">
      <t>イケイ</t>
    </rPh>
    <phoneticPr fontId="2"/>
  </si>
  <si>
    <t>溶接ﾌﾗﾝｼﾞ</t>
    <rPh sb="0" eb="2">
      <t>ヨウセツ</t>
    </rPh>
    <phoneticPr fontId="2"/>
  </si>
  <si>
    <t>盲ﾌﾗﾝｼﾞ</t>
    <rPh sb="0" eb="1">
      <t>モウ</t>
    </rPh>
    <phoneticPr fontId="2"/>
  </si>
  <si>
    <t>ﾁｭｰﾌﾞ定尺</t>
    <rPh sb="5" eb="7">
      <t>テイシャク</t>
    </rPh>
    <phoneticPr fontId="2"/>
  </si>
  <si>
    <t>異径ｴﾙﾎﾞ</t>
    <rPh sb="0" eb="2">
      <t>イケイ</t>
    </rPh>
    <phoneticPr fontId="2"/>
  </si>
  <si>
    <t>異径ﾆｯﾌﾟﾙ</t>
    <rPh sb="0" eb="2">
      <t>イケイ</t>
    </rPh>
    <phoneticPr fontId="2"/>
  </si>
  <si>
    <t>CE形</t>
    <rPh sb="2" eb="3">
      <t>カタチ</t>
    </rPh>
    <phoneticPr fontId="2"/>
  </si>
  <si>
    <t>引抜丸棒</t>
    <rPh sb="0" eb="4">
      <t>ヒキヌキマルボウ</t>
    </rPh>
    <phoneticPr fontId="2"/>
  </si>
  <si>
    <t>№1板</t>
    <rPh sb="2" eb="3">
      <t>イタ</t>
    </rPh>
    <phoneticPr fontId="2"/>
  </si>
  <si>
    <t>2B板</t>
    <rPh sb="2" eb="3">
      <t>イタ</t>
    </rPh>
    <phoneticPr fontId="2"/>
  </si>
  <si>
    <t>ﾄｰｾﾞﾝﾌﾚｯｸｽFCD450球形</t>
    <rPh sb="16" eb="17">
      <t>キュウ</t>
    </rPh>
    <rPh sb="17" eb="18">
      <t>カタチ</t>
    </rPh>
    <phoneticPr fontId="2"/>
  </si>
  <si>
    <t>単式銅玉付</t>
    <rPh sb="0" eb="2">
      <t>タンシキ</t>
    </rPh>
    <rPh sb="2" eb="3">
      <t>ドウ</t>
    </rPh>
    <rPh sb="3" eb="4">
      <t>タマ</t>
    </rPh>
    <rPh sb="4" eb="5">
      <t>ツキ</t>
    </rPh>
    <phoneticPr fontId="2"/>
  </si>
  <si>
    <t>複式銅玉付</t>
    <rPh sb="0" eb="2">
      <t>フクシキ</t>
    </rPh>
    <rPh sb="2" eb="3">
      <t>ドウ</t>
    </rPh>
    <rPh sb="3" eb="4">
      <t>タマ</t>
    </rPh>
    <rPh sb="4" eb="5">
      <t>ツキ</t>
    </rPh>
    <phoneticPr fontId="2"/>
  </si>
  <si>
    <t>ｸﾞﾘｽﾆｯﾌﾟﾙ A型</t>
    <rPh sb="11" eb="12">
      <t>ガタ</t>
    </rPh>
    <phoneticPr fontId="2"/>
  </si>
  <si>
    <t>ｸﾞﾘｽﾆｯﾌﾟﾙ B型</t>
    <rPh sb="11" eb="12">
      <t>ガタ</t>
    </rPh>
    <phoneticPr fontId="2"/>
  </si>
  <si>
    <t>ｸﾞﾘｽﾆｯﾌﾟﾙ C型</t>
    <rPh sb="11" eb="12">
      <t>ガタ</t>
    </rPh>
    <phoneticPr fontId="2"/>
  </si>
  <si>
    <t>皿ｷｬｯﾌﾟｽｸﾘｭｰ</t>
    <rPh sb="0" eb="1">
      <t>サラ</t>
    </rPh>
    <phoneticPr fontId="2"/>
  </si>
  <si>
    <t>低頭ｷｬｯﾌﾟｽｸﾘｭｰ</t>
    <rPh sb="0" eb="2">
      <t>テイトウ</t>
    </rPh>
    <phoneticPr fontId="2"/>
  </si>
  <si>
    <t>極低頭ｷｬｯﾌﾟｽｸﾘｭｰ</t>
    <rPh sb="0" eb="3">
      <t>ゴクテイトウ</t>
    </rPh>
    <phoneticPr fontId="2"/>
  </si>
  <si>
    <t>ｸﾎﾞﾐ先</t>
    <rPh sb="4" eb="5">
      <t>サキ</t>
    </rPh>
    <phoneticPr fontId="2"/>
  </si>
  <si>
    <t>棒先</t>
    <rPh sb="0" eb="2">
      <t>ボウサキ</t>
    </rPh>
    <phoneticPr fontId="2"/>
  </si>
  <si>
    <t>平先</t>
    <rPh sb="0" eb="2">
      <t>ヒラサキ</t>
    </rPh>
    <phoneticPr fontId="2"/>
  </si>
  <si>
    <t>左ﾈｼﾞ</t>
    <rPh sb="0" eb="1">
      <t>ヒダリ</t>
    </rPh>
    <phoneticPr fontId="2"/>
  </si>
  <si>
    <t>3種ﾅｯﾄ</t>
    <rPh sb="1" eb="2">
      <t>シュ</t>
    </rPh>
    <phoneticPr fontId="2"/>
  </si>
  <si>
    <t>3種ﾅｯﾄ細目</t>
    <rPh sb="1" eb="2">
      <t>シュ</t>
    </rPh>
    <rPh sb="5" eb="7">
      <t>ホソメ</t>
    </rPh>
    <phoneticPr fontId="2"/>
  </si>
  <si>
    <t>1種ﾅｯﾄ</t>
    <rPh sb="1" eb="2">
      <t>シュ</t>
    </rPh>
    <phoneticPr fontId="2"/>
  </si>
  <si>
    <t>重荷重用</t>
    <rPh sb="0" eb="1">
      <t>ジュウ</t>
    </rPh>
    <rPh sb="1" eb="4">
      <t>カジュウヨウ</t>
    </rPh>
    <phoneticPr fontId="2"/>
  </si>
  <si>
    <t>軽荷重用</t>
    <rPh sb="0" eb="1">
      <t>ケイ</t>
    </rPh>
    <rPh sb="1" eb="4">
      <t>カジュウヨウ</t>
    </rPh>
    <phoneticPr fontId="2"/>
  </si>
  <si>
    <t>角ﾜｯｼｬｰ</t>
    <rPh sb="0" eb="1">
      <t>カク</t>
    </rPh>
    <phoneticPr fontId="2"/>
  </si>
  <si>
    <t>皿(+)</t>
    <rPh sb="0" eb="1">
      <t>サラ</t>
    </rPh>
    <phoneticPr fontId="2"/>
  </si>
  <si>
    <t>六角頭HEX</t>
    <rPh sb="0" eb="3">
      <t>ロッカクアタマ</t>
    </rPh>
    <phoneticPr fontId="2"/>
  </si>
  <si>
    <t>ﾌﾟﾁﾊﾟｯｸ100個入</t>
    <rPh sb="10" eb="11">
      <t>コ</t>
    </rPh>
    <rPh sb="11" eb="12">
      <t>イ</t>
    </rPh>
    <phoneticPr fontId="2"/>
  </si>
  <si>
    <t>L型ﾌﾞﾗｹｯﾄ SUS</t>
    <rPh sb="1" eb="2">
      <t>ガタ</t>
    </rPh>
    <phoneticPr fontId="2"/>
  </si>
  <si>
    <t>L型ﾌﾞﾗｹｯﾄ ﾒｯｷ</t>
    <rPh sb="1" eb="2">
      <t>ガタ</t>
    </rPh>
    <phoneticPr fontId="2"/>
  </si>
  <si>
    <t>T字足 SUS</t>
    <rPh sb="1" eb="3">
      <t>ジアシ</t>
    </rPh>
    <phoneticPr fontId="2"/>
  </si>
  <si>
    <t>T字足 ﾒｯｷ</t>
    <rPh sb="1" eb="3">
      <t>ジアシ</t>
    </rPh>
    <phoneticPr fontId="2"/>
  </si>
  <si>
    <t>つば付足 SUS</t>
    <rPh sb="2" eb="4">
      <t>ツキアシ</t>
    </rPh>
    <phoneticPr fontId="2"/>
  </si>
  <si>
    <t>つば付足 ﾒｯｷ</t>
    <rPh sb="2" eb="4">
      <t>ツキアシ</t>
    </rPh>
    <phoneticPr fontId="2"/>
  </si>
  <si>
    <t>吊ﾊﾞﾝﾄﾞ SUS</t>
    <rPh sb="0" eb="1">
      <t>ツ</t>
    </rPh>
    <phoneticPr fontId="2"/>
  </si>
  <si>
    <t>吊ﾊﾞﾝﾄﾞ ﾒｯｷ</t>
    <rPh sb="0" eb="1">
      <t>ツ</t>
    </rPh>
    <phoneticPr fontId="2"/>
  </si>
  <si>
    <t>片ｻﾄﾞﾙﾊﾞﾝﾄﾞ SUS</t>
    <rPh sb="0" eb="1">
      <t>カタ</t>
    </rPh>
    <phoneticPr fontId="2"/>
  </si>
  <si>
    <t>片ｻﾄﾞﾙﾊﾞﾝﾄﾞ ﾒｯｷ</t>
    <rPh sb="0" eb="1">
      <t>カタ</t>
    </rPh>
    <phoneticPr fontId="2"/>
  </si>
  <si>
    <t>立管ﾊﾞﾝﾄﾞ SUS</t>
    <rPh sb="0" eb="2">
      <t>タテカン</t>
    </rPh>
    <phoneticPr fontId="2"/>
  </si>
  <si>
    <t>立管ﾊﾞﾝﾄﾞ ﾒｯｷ</t>
    <rPh sb="0" eb="2">
      <t>タテカン</t>
    </rPh>
    <phoneticPr fontId="2"/>
  </si>
  <si>
    <t>穴あきｱﾝｸﾞﾙ SUS</t>
    <rPh sb="0" eb="1">
      <t>アナ</t>
    </rPh>
    <phoneticPr fontId="2"/>
  </si>
  <si>
    <t>穴あきｱﾝｸﾞﾙ ﾒｯｷ</t>
    <rPh sb="0" eb="1">
      <t>アナ</t>
    </rPh>
    <phoneticPr fontId="2"/>
  </si>
  <si>
    <t>ｿｹｯﾄ12角</t>
    <rPh sb="6" eb="7">
      <t>カク</t>
    </rPh>
    <phoneticPr fontId="2"/>
  </si>
  <si>
    <t>ｿｹｯﾄ6角</t>
    <rPh sb="5" eb="6">
      <t>カク</t>
    </rPh>
    <phoneticPr fontId="2"/>
  </si>
  <si>
    <t>超硬ﾎﾙｿｰ</t>
    <rPh sb="0" eb="2">
      <t>チョウコウ</t>
    </rPh>
    <phoneticPr fontId="2"/>
  </si>
  <si>
    <t>ｼｬｺ万力</t>
    <rPh sb="3" eb="5">
      <t>マンリキ</t>
    </rPh>
    <phoneticPr fontId="2"/>
  </si>
  <si>
    <t>圧着工具</t>
    <rPh sb="0" eb="4">
      <t>アッチャクコウグ</t>
    </rPh>
    <phoneticPr fontId="2"/>
  </si>
  <si>
    <t>溶断用調整器</t>
    <rPh sb="0" eb="6">
      <t>ヨウダンヨウチョウセイウツワ</t>
    </rPh>
    <phoneticPr fontId="2"/>
  </si>
  <si>
    <t>切断器火口付</t>
    <rPh sb="0" eb="2">
      <t>セツダン</t>
    </rPh>
    <rPh sb="2" eb="3">
      <t>ウツワ</t>
    </rPh>
    <rPh sb="3" eb="6">
      <t>ヒグチツ</t>
    </rPh>
    <phoneticPr fontId="2"/>
  </si>
  <si>
    <t>切断機用火口</t>
    <rPh sb="0" eb="4">
      <t>セツダンキヨウ</t>
    </rPh>
    <rPh sb="4" eb="6">
      <t>ヒグチ</t>
    </rPh>
    <phoneticPr fontId="2"/>
  </si>
  <si>
    <t>裸圧着端子</t>
    <rPh sb="0" eb="5">
      <t>ハダカアッチャクタンシ</t>
    </rPh>
    <phoneticPr fontId="2"/>
  </si>
  <si>
    <t>手持面</t>
    <rPh sb="0" eb="2">
      <t>テモ</t>
    </rPh>
    <rPh sb="2" eb="3">
      <t>メン</t>
    </rPh>
    <phoneticPr fontId="2"/>
  </si>
  <si>
    <t>かぶり面</t>
    <rPh sb="3" eb="4">
      <t>メン</t>
    </rPh>
    <phoneticPr fontId="2"/>
  </si>
  <si>
    <t>着火用ﾗｲﾀｰ</t>
    <rPh sb="0" eb="3">
      <t>チャッカヨウ</t>
    </rPh>
    <phoneticPr fontId="2"/>
  </si>
  <si>
    <t>保護具ﾒｶﾞﾈ</t>
    <rPh sb="0" eb="3">
      <t>ホゴグ</t>
    </rPh>
    <phoneticPr fontId="2"/>
  </si>
  <si>
    <t>万力</t>
    <rPh sb="0" eb="2">
      <t>マンリキ</t>
    </rPh>
    <phoneticPr fontId="2"/>
  </si>
  <si>
    <t>ﾉｽﾄﾞﾘﾙ1/2 13型</t>
    <rPh sb="12" eb="13">
      <t>ガタ</t>
    </rPh>
    <phoneticPr fontId="2"/>
  </si>
  <si>
    <t>ｺﾝｸﾘｰﾄﾄﾞﾘﾙ六角軸</t>
    <rPh sb="10" eb="13">
      <t>ロッカクジク</t>
    </rPh>
    <phoneticPr fontId="2"/>
  </si>
  <si>
    <t>ﾊﾝﾏｰ木柄</t>
    <rPh sb="4" eb="6">
      <t>モクエ</t>
    </rPh>
    <phoneticPr fontId="2"/>
  </si>
  <si>
    <t>ﾊﾞﾝﾄﾞｿｰ替刃ｼｬｰｸ</t>
    <rPh sb="7" eb="9">
      <t>カエバ</t>
    </rPh>
    <phoneticPr fontId="2"/>
  </si>
  <si>
    <t>ﾍﾘｻｰﾄ挿入工具</t>
    <rPh sb="5" eb="9">
      <t>ソウニュウコウグ</t>
    </rPh>
    <phoneticPr fontId="2"/>
  </si>
  <si>
    <t>丸ﾀﾞｲｽ</t>
    <rPh sb="0" eb="1">
      <t>マル</t>
    </rPh>
    <phoneticPr fontId="2"/>
  </si>
  <si>
    <t>ﾄﾞﾚｯｻｰﾎﾙﾀﾞｰ替刃DG-265K 215-7306</t>
    <rPh sb="11" eb="13">
      <t>カエバ</t>
    </rPh>
    <phoneticPr fontId="2"/>
  </si>
  <si>
    <t>T型ﾗﾁｪｯﾄﾀｯﾌﾟﾎﾙﾀﾞ</t>
    <rPh sb="1" eb="2">
      <t>ガタ</t>
    </rPh>
    <phoneticPr fontId="2"/>
  </si>
  <si>
    <t>超硬ﾊﾞｰ</t>
    <rPh sb="0" eb="2">
      <t>チョウコウ</t>
    </rPh>
    <phoneticPr fontId="2"/>
  </si>
  <si>
    <t>六角棒ﾚﾝﾁ</t>
    <rPh sb="0" eb="3">
      <t>ロッカクボウ</t>
    </rPh>
    <phoneticPr fontId="2"/>
  </si>
  <si>
    <t>六角棒ﾚﾝﾁｾｯﾄ品</t>
    <rPh sb="0" eb="3">
      <t>ロッカクボウ</t>
    </rPh>
    <rPh sb="9" eb="10">
      <t>ヒン</t>
    </rPh>
    <phoneticPr fontId="2"/>
  </si>
  <si>
    <t>角ﾔｽﾘ</t>
    <rPh sb="0" eb="1">
      <t>カク</t>
    </rPh>
    <phoneticPr fontId="2"/>
  </si>
  <si>
    <t>三角ﾔｽﾘ</t>
    <rPh sb="0" eb="2">
      <t>サンカク</t>
    </rPh>
    <phoneticPr fontId="2"/>
  </si>
  <si>
    <t>平ﾔｽﾘ</t>
    <rPh sb="0" eb="1">
      <t>ヒラ</t>
    </rPh>
    <phoneticPr fontId="2"/>
  </si>
  <si>
    <t>半丸ﾔｽﾘ</t>
    <rPh sb="0" eb="2">
      <t>ハンマル</t>
    </rPh>
    <phoneticPr fontId="2"/>
  </si>
  <si>
    <t>丸ﾔｽﾘ</t>
    <rPh sb="0" eb="1">
      <t>マル</t>
    </rPh>
    <phoneticPr fontId="2"/>
  </si>
  <si>
    <t>鉄工ﾔｽﾘｾｯﾄ</t>
    <rPh sb="0" eb="2">
      <t>テッコウ</t>
    </rPh>
    <phoneticPr fontId="2"/>
  </si>
  <si>
    <t>CTｱﾝｶｰ用打込み棒</t>
    <rPh sb="6" eb="7">
      <t>ヨウ</t>
    </rPh>
    <rPh sb="7" eb="9">
      <t>ウチコ</t>
    </rPh>
    <rPh sb="10" eb="11">
      <t>ボウ</t>
    </rPh>
    <phoneticPr fontId="2"/>
  </si>
  <si>
    <t>攪拌ﾀｲﾌﾟTG</t>
    <rPh sb="0" eb="2">
      <t>カクハン</t>
    </rPh>
    <phoneticPr fontId="2"/>
  </si>
  <si>
    <t>打込みﾀｲﾌﾟPG</t>
    <rPh sb="0" eb="2">
      <t>ウチコ</t>
    </rPh>
    <phoneticPr fontId="2"/>
  </si>
  <si>
    <t>ﾃｰﾊﾟｰﾋﾟﾝ外ﾈｼﾞ付</t>
    <rPh sb="8" eb="9">
      <t>ソト</t>
    </rPh>
    <rPh sb="12" eb="13">
      <t>ツキ</t>
    </rPh>
    <phoneticPr fontId="2"/>
  </si>
  <si>
    <t>ﾃｰﾊﾟｰﾋﾟﾝ内ﾈｼﾞ月</t>
    <rPh sb="8" eb="9">
      <t>ウチ</t>
    </rPh>
    <rPh sb="12" eb="13">
      <t>ツキ</t>
    </rPh>
    <phoneticPr fontId="2"/>
  </si>
  <si>
    <t>ｽﾅｯﾌﾟﾘﾝｸﾞ軸用STW</t>
    <rPh sb="9" eb="11">
      <t>ジクヨウ</t>
    </rPh>
    <phoneticPr fontId="2"/>
  </si>
  <si>
    <t>ｽﾅｯﾌﾟﾘﾝｸﾞ穴用RTW</t>
    <rPh sb="9" eb="10">
      <t>アナ</t>
    </rPh>
    <rPh sb="10" eb="11">
      <t>ヨウ</t>
    </rPh>
    <phoneticPr fontId="2"/>
  </si>
  <si>
    <t>割ﾋﾟﾝ</t>
    <rPh sb="0" eb="1">
      <t>ワリ</t>
    </rPh>
    <phoneticPr fontId="2"/>
  </si>
  <si>
    <t>両角ｷｰ</t>
    <rPh sb="0" eb="2">
      <t>リョウカク</t>
    </rPh>
    <phoneticPr fontId="2"/>
  </si>
  <si>
    <t>ｷﾞﾔｰﾄﾞﾄﾛﾘ結合用TSG</t>
    <rPh sb="9" eb="12">
      <t>ケツゴウヨウ</t>
    </rPh>
    <phoneticPr fontId="2"/>
  </si>
  <si>
    <t>ﾌﾟﾚﾝﾄﾛﾘ結合用TSP</t>
    <rPh sb="7" eb="10">
      <t>ケツゴウヨウ</t>
    </rPh>
    <phoneticPr fontId="2"/>
  </si>
  <si>
    <t>水平器</t>
    <rPh sb="0" eb="3">
      <t>スイヘイキ</t>
    </rPh>
    <phoneticPr fontId="2"/>
  </si>
  <si>
    <t>直尺</t>
    <rPh sb="0" eb="2">
      <t>チョクシャク</t>
    </rPh>
    <phoneticPr fontId="2"/>
  </si>
  <si>
    <t>曲尺</t>
    <rPh sb="0" eb="1">
      <t>マ</t>
    </rPh>
    <rPh sb="1" eb="2">
      <t>シャク</t>
    </rPh>
    <phoneticPr fontId="2"/>
  </si>
  <si>
    <t>ﾌﾘｰ巻取式ﾒｼﾞｬｰ</t>
    <rPh sb="3" eb="6">
      <t>マキトリシキ</t>
    </rPh>
    <phoneticPr fontId="2"/>
  </si>
  <si>
    <t>ﾛｯｸ巻取式ﾒｼﾞｬｰ</t>
    <rPh sb="3" eb="6">
      <t>マキトリシキ</t>
    </rPh>
    <phoneticPr fontId="2"/>
  </si>
  <si>
    <t>外側用ﾏｲｸﾛﾒｰﾀ</t>
    <rPh sb="0" eb="2">
      <t>ソトガワ</t>
    </rPh>
    <rPh sb="2" eb="3">
      <t>ヨウ</t>
    </rPh>
    <phoneticPr fontId="2"/>
  </si>
  <si>
    <t>ﾏｸﾞﾈｯﾄ用品</t>
    <rPh sb="6" eb="8">
      <t>ヨウヒン</t>
    </rPh>
    <phoneticPr fontId="2"/>
  </si>
  <si>
    <t>ﾀﾜﾐ軸継手CL</t>
    <rPh sb="3" eb="6">
      <t>ジクツギテ</t>
    </rPh>
    <phoneticPr fontId="2"/>
  </si>
  <si>
    <t>AN右</t>
    <rPh sb="2" eb="3">
      <t>ミギ</t>
    </rPh>
    <phoneticPr fontId="2"/>
  </si>
  <si>
    <t>AN□L左</t>
    <rPh sb="4" eb="5">
      <t>ヒダリ</t>
    </rPh>
    <phoneticPr fontId="2"/>
  </si>
  <si>
    <t>取外しｽﾘｰﾌﾞAH</t>
    <rPh sb="0" eb="2">
      <t>トリハズ</t>
    </rPh>
    <phoneticPr fontId="2"/>
  </si>
  <si>
    <t>ﾈｼﾞ無 5.5M</t>
    <rPh sb="3" eb="4">
      <t>ナ</t>
    </rPh>
    <phoneticPr fontId="2"/>
  </si>
  <si>
    <t>ﾈｼﾞ有 4M</t>
    <rPh sb="3" eb="4">
      <t>アリ</t>
    </rPh>
    <phoneticPr fontId="2"/>
  </si>
  <si>
    <t>S40 ﾈｼﾞ無 5.5M</t>
    <rPh sb="7" eb="8">
      <t>ナ</t>
    </rPh>
    <phoneticPr fontId="2"/>
  </si>
  <si>
    <t>S80 ﾈｼﾞ無 5.5M</t>
    <rPh sb="7" eb="8">
      <t>ナ</t>
    </rPh>
    <phoneticPr fontId="2"/>
  </si>
  <si>
    <t>ﾈｼﾞ無 4M</t>
    <rPh sb="3" eb="4">
      <t>ナ</t>
    </rPh>
    <phoneticPr fontId="2"/>
  </si>
  <si>
    <t>全面ﾊﾟｯｷﾝ</t>
    <rPh sb="0" eb="2">
      <t>ゼンメン</t>
    </rPh>
    <phoneticPr fontId="2"/>
  </si>
  <si>
    <t>内面ﾊﾟｯｷﾝ</t>
    <rPh sb="0" eb="2">
      <t>ナイメン</t>
    </rPh>
    <phoneticPr fontId="2"/>
  </si>
  <si>
    <t>溶接蝶番</t>
    <rPh sb="0" eb="2">
      <t>ヨウセツ</t>
    </rPh>
    <rPh sb="2" eb="4">
      <t>チョウバン</t>
    </rPh>
    <phoneticPr fontId="2"/>
  </si>
  <si>
    <t>ﾊﾟｯｷﾝ錠</t>
    <rPh sb="5" eb="6">
      <t>ジョウ</t>
    </rPh>
    <phoneticPr fontId="2"/>
  </si>
  <si>
    <t>FRﾕﾆｯﾄｵｰﾄﾄﾞﾚﾝ付</t>
    <rPh sb="13" eb="14">
      <t>ツキ</t>
    </rPh>
    <phoneticPr fontId="2"/>
  </si>
  <si>
    <t>ｴｱﾌｨﾙﾀｵｰﾄﾄﾞﾚﾝ付</t>
    <rPh sb="13" eb="14">
      <t>ツキ</t>
    </rPh>
    <phoneticPr fontId="2"/>
  </si>
  <si>
    <t>ｴｱﾚｷﾞｭﾚｰﾀｹﾞｰｼﾞ付</t>
    <rPh sb="14" eb="15">
      <t>ツ</t>
    </rPh>
    <phoneticPr fontId="2"/>
  </si>
  <si>
    <t>2方弁NC AB</t>
    <rPh sb="1" eb="2">
      <t>カタ</t>
    </rPh>
    <rPh sb="2" eb="3">
      <t>ベン</t>
    </rPh>
    <phoneticPr fontId="2"/>
  </si>
  <si>
    <t>2方弁NC ADK</t>
    <rPh sb="1" eb="2">
      <t>カタ</t>
    </rPh>
    <rPh sb="2" eb="3">
      <t>ベン</t>
    </rPh>
    <phoneticPr fontId="2"/>
  </si>
  <si>
    <t>4方弁2P-ｼﾝｸﾞﾙ 4F</t>
    <rPh sb="1" eb="2">
      <t>ホウ</t>
    </rPh>
    <rPh sb="2" eb="3">
      <t>ベン</t>
    </rPh>
    <phoneticPr fontId="2"/>
  </si>
  <si>
    <t>4方弁2P-ｼﾝｸﾞﾙ 4KB</t>
    <rPh sb="1" eb="2">
      <t>ホウ</t>
    </rPh>
    <rPh sb="2" eb="3">
      <t>ベン</t>
    </rPh>
    <phoneticPr fontId="2"/>
  </si>
  <si>
    <t>青銅ﾈｼﾞｺﾐ150型Ｃ</t>
    <rPh sb="0" eb="2">
      <t>セイドウ</t>
    </rPh>
    <rPh sb="10" eb="11">
      <t>ガタ</t>
    </rPh>
    <phoneticPr fontId="2"/>
  </si>
  <si>
    <t>黄銅ﾈｼﾞｺﾐ125型FH</t>
    <rPh sb="0" eb="2">
      <t>オウドウ</t>
    </rPh>
    <rPh sb="10" eb="11">
      <t>ガタ</t>
    </rPh>
    <phoneticPr fontId="2"/>
  </si>
  <si>
    <t>青銅ﾈｼﾞｺﾐ125型H</t>
    <rPh sb="0" eb="2">
      <t>セイドウ</t>
    </rPh>
    <rPh sb="10" eb="11">
      <t>ガタ</t>
    </rPh>
    <phoneticPr fontId="2"/>
  </si>
  <si>
    <t>青銅ﾈｼﾞｺﾐ150型E</t>
    <rPh sb="0" eb="2">
      <t>セイドウ</t>
    </rPh>
    <rPh sb="10" eb="11">
      <t>ガタ</t>
    </rPh>
    <phoneticPr fontId="2"/>
  </si>
  <si>
    <t>黄銅ﾈｼﾞｺﾐ600型Z</t>
    <rPh sb="0" eb="2">
      <t>オウドウ</t>
    </rPh>
    <rPh sb="10" eb="11">
      <t>ガタ</t>
    </rPh>
    <phoneticPr fontId="2"/>
  </si>
  <si>
    <t>青銅ﾈｼﾞｺﾐ150型F</t>
    <rPh sb="0" eb="2">
      <t>セイドウ</t>
    </rPh>
    <rPh sb="10" eb="11">
      <t>ガタ</t>
    </rPh>
    <phoneticPr fontId="2"/>
  </si>
  <si>
    <t>青銅ﾈｼﾞｺﾐ125型R</t>
    <rPh sb="0" eb="2">
      <t>セイドウ</t>
    </rPh>
    <rPh sb="10" eb="11">
      <t>ガタ</t>
    </rPh>
    <phoneticPr fontId="2"/>
  </si>
  <si>
    <t>青銅ﾈｼﾞｺﾐ150型Y</t>
    <rPh sb="0" eb="2">
      <t>セイドウ</t>
    </rPh>
    <rPh sb="10" eb="11">
      <t>ガタ</t>
    </rPh>
    <phoneticPr fontId="2"/>
  </si>
  <si>
    <t>青銅ﾈｼﾞｺﾐ10K-L</t>
    <rPh sb="0" eb="2">
      <t>セイドウ</t>
    </rPh>
    <phoneticPr fontId="2"/>
  </si>
  <si>
    <t>青銅ﾈｼﾞｺﾐ5K-M</t>
    <rPh sb="0" eb="2">
      <t>セイドウ</t>
    </rPh>
    <phoneticPr fontId="2"/>
  </si>
  <si>
    <t>青銅ﾈｼﾞｺﾐ10K-O</t>
    <rPh sb="0" eb="2">
      <t>セイドウ</t>
    </rPh>
    <phoneticPr fontId="2"/>
  </si>
  <si>
    <t>黄銅青銅ﾈｼﾞｺﾐ400型TN</t>
    <rPh sb="0" eb="2">
      <t>オウドウ</t>
    </rPh>
    <rPh sb="2" eb="4">
      <t>セイドウ</t>
    </rPh>
    <rPh sb="12" eb="13">
      <t>ガタ</t>
    </rPh>
    <phoneticPr fontId="2"/>
  </si>
  <si>
    <t>ｽﾃﾝﾚｽ ﾈｼﾞｺﾐ600型UTK</t>
    <rPh sb="14" eb="15">
      <t>ガタ</t>
    </rPh>
    <phoneticPr fontId="2"/>
  </si>
  <si>
    <t>鋳鉄ﾌﾗﾝｼﾞ5K-5FCM</t>
    <rPh sb="0" eb="2">
      <t>チュウテツ</t>
    </rPh>
    <phoneticPr fontId="2"/>
  </si>
  <si>
    <t>鋳鉄ﾌﾗﾝｼﾞ10K-10FCL</t>
    <rPh sb="0" eb="2">
      <t>チュウテツ</t>
    </rPh>
    <phoneticPr fontId="2"/>
  </si>
  <si>
    <t>鋳鉄ﾌﾗﾝｼﾞ10K-10FCY</t>
    <rPh sb="0" eb="2">
      <t>チュウテツ</t>
    </rPh>
    <phoneticPr fontId="2"/>
  </si>
  <si>
    <t>鋳鉄ﾌﾗﾝｼﾞ10K-10FCO</t>
    <rPh sb="0" eb="2">
      <t>チュウテツ</t>
    </rPh>
    <phoneticPr fontId="2"/>
  </si>
  <si>
    <t>鋳鉄ﾌﾗﾝｼﾞ10K-10FCOS</t>
    <rPh sb="0" eb="2">
      <t>チュウテツ</t>
    </rPh>
    <phoneticPr fontId="2"/>
  </si>
  <si>
    <t>鋳鉄ﾌﾗﾝｼﾞ10K-10FCLS</t>
    <rPh sb="0" eb="2">
      <t>チュウテツ</t>
    </rPh>
    <phoneticPr fontId="2"/>
  </si>
  <si>
    <t>鋳鉄ﾌﾗﾝｼ10K-10FCTB</t>
    <rPh sb="0" eb="2">
      <t>チュウテツ</t>
    </rPh>
    <phoneticPr fontId="2"/>
  </si>
  <si>
    <t>ｽﾃﾝﾚｽ ﾈｼﾞｺﾐ1000型T-UFO</t>
    <rPh sb="15" eb="16">
      <t>ガタ</t>
    </rPh>
    <phoneticPr fontId="2"/>
  </si>
  <si>
    <t>鋳物ﾛｯｸﾚﾊﾞｰ式700G-1T</t>
    <rPh sb="0" eb="2">
      <t>イモノ</t>
    </rPh>
    <rPh sb="9" eb="10">
      <t>シキ</t>
    </rPh>
    <phoneticPr fontId="2"/>
  </si>
  <si>
    <t>黄銅1.96MPA RV</t>
    <rPh sb="0" eb="2">
      <t>オウドウ</t>
    </rPh>
    <phoneticPr fontId="2"/>
  </si>
  <si>
    <t>蒸気低圧用ﾌﾗﾝｼﾞGP-1000</t>
    <rPh sb="0" eb="2">
      <t>ジョウキ</t>
    </rPh>
    <rPh sb="2" eb="4">
      <t>テイアツ</t>
    </rPh>
    <rPh sb="4" eb="5">
      <t>ヨウ</t>
    </rPh>
    <phoneticPr fontId="2"/>
  </si>
  <si>
    <t>冷温水用ﾈｼﾞｺﾐGD-24GS</t>
    <rPh sb="0" eb="3">
      <t>レイオンスイ</t>
    </rPh>
    <rPh sb="3" eb="4">
      <t>ヨウ</t>
    </rPh>
    <phoneticPr fontId="2"/>
  </si>
  <si>
    <t>71型ﾛﾝｸﾞ板弁底ﾌﾀ付S-111</t>
    <rPh sb="2" eb="3">
      <t>ガタ</t>
    </rPh>
    <rPh sb="7" eb="8">
      <t>イタ</t>
    </rPh>
    <rPh sb="8" eb="9">
      <t>ベン</t>
    </rPh>
    <rPh sb="9" eb="10">
      <t>ソコ</t>
    </rPh>
    <rPh sb="12" eb="13">
      <t>ツ</t>
    </rPh>
    <phoneticPr fontId="2"/>
  </si>
  <si>
    <t>S210両端白ﾕﾆｵﾝ</t>
    <rPh sb="4" eb="6">
      <t>リョウタン</t>
    </rPh>
    <rPh sb="6" eb="7">
      <t>シロ</t>
    </rPh>
    <phoneticPr fontId="2"/>
  </si>
  <si>
    <t>F110両端白ﾌﾗﾝｼﾞ</t>
    <rPh sb="4" eb="6">
      <t>リョウタン</t>
    </rPh>
    <rPh sb="6" eb="7">
      <t>シロ</t>
    </rPh>
    <phoneticPr fontId="2"/>
  </si>
  <si>
    <t>F118両端白ﾌﾗﾝｼﾞ</t>
    <rPh sb="4" eb="6">
      <t>リョウタン</t>
    </rPh>
    <rPh sb="6" eb="7">
      <t>シロ</t>
    </rPh>
    <phoneticPr fontId="2"/>
  </si>
  <si>
    <t>F115両端白ﾌﾗﾝｼﾞ</t>
    <rPh sb="4" eb="7">
      <t>リョウタンシロ</t>
    </rPh>
    <phoneticPr fontId="2"/>
  </si>
  <si>
    <t>PEﾌｨｯﾃｨﾝｸﾞ</t>
  </si>
  <si>
    <t>ﾘﾝｸﾞｼﾞｮｲﾝﾄ</t>
  </si>
  <si>
    <t>ｴﾙﾎﾞ</t>
  </si>
  <si>
    <t>ﾆｯﾌﾟﾙ</t>
  </si>
  <si>
    <t>ﾈｼﾞﾌﾗﾝｼﾞ</t>
  </si>
  <si>
    <t>ｶﾌﾟﾗ</t>
  </si>
  <si>
    <t>ﾊﾞﾝﾄﾞ</t>
  </si>
  <si>
    <t>ﾌﾟｯｼｭﾜﾝEｼﾘｰｽﾞ</t>
  </si>
  <si>
    <t>ｸｲｯｸｼｰﾙｲﾝｻｰﾄ</t>
  </si>
  <si>
    <t>ﾁｭｰﾌﾞｶｯﾄ</t>
  </si>
  <si>
    <t>ｽﾋﾟｰﾄﾞｺﾝﾄﾛｰﾗ</t>
  </si>
  <si>
    <t>ｹｰﾌﾞﾙﾀｲ</t>
  </si>
  <si>
    <t>ﾎｰｽﾊﾞﾝﾄﾞ</t>
  </si>
  <si>
    <t>ｱﾎﾟﾛｺｯｸ</t>
  </si>
  <si>
    <t>T33</t>
  </si>
  <si>
    <t>TSﾌﾗﾝｼﾞ</t>
  </si>
  <si>
    <t>T34</t>
  </si>
  <si>
    <t>ｱﾝｸﾞﾙ</t>
  </si>
  <si>
    <t>T35</t>
  </si>
  <si>
    <t>ﾌﾗｯﾄﾊﾞｰ</t>
  </si>
  <si>
    <t>T36</t>
  </si>
  <si>
    <t>ﾁｬﾝﾈﾙ</t>
  </si>
  <si>
    <t>T37</t>
  </si>
  <si>
    <t>T38</t>
  </si>
  <si>
    <t>T39</t>
  </si>
  <si>
    <t>T40</t>
  </si>
  <si>
    <t>ﾎﾞｽ</t>
  </si>
  <si>
    <t>T41</t>
  </si>
  <si>
    <t>ﾊｰﾌｶｯﾌﾟﾘﾝｸﾞ</t>
  </si>
  <si>
    <t>T42</t>
  </si>
  <si>
    <t>T43</t>
  </si>
  <si>
    <t>T44</t>
  </si>
  <si>
    <t>T45</t>
  </si>
  <si>
    <t>T52</t>
  </si>
  <si>
    <t>SKｿｹｯﾄ</t>
  </si>
  <si>
    <t>ﾎﾞﾀﾝｷｬｯﾌﾟｽｸﾘｭｰ</t>
  </si>
  <si>
    <t>ｷｬｯﾌﾟｽｸﾘｭｰ</t>
  </si>
  <si>
    <t>285L</t>
  </si>
  <si>
    <t>1000L</t>
  </si>
  <si>
    <t>2000L</t>
  </si>
  <si>
    <t>ｾﾙﾌﾛｯｷﾝｸﾞﾅｯﾄ</t>
  </si>
  <si>
    <t>ﾃｰﾊﾟｰﾜｯｼｬｰ5°</t>
  </si>
  <si>
    <t>ﾃｰﾊﾟｰﾜｯｼｬｰ8°</t>
  </si>
  <si>
    <t>Ｂ23</t>
  </si>
  <si>
    <t>ﾅﾍﾞ(+)</t>
  </si>
  <si>
    <t>Ｂ24</t>
  </si>
  <si>
    <t>ﾄﾗｽ(+)</t>
  </si>
  <si>
    <t>Ｂ25</t>
  </si>
  <si>
    <t>Ｂ26</t>
  </si>
  <si>
    <t>HA5</t>
  </si>
  <si>
    <t>ｻﾄﾞﾙﾊﾞﾝﾄﾞ SUS</t>
  </si>
  <si>
    <t>HA6</t>
  </si>
  <si>
    <t>ｻﾄﾞﾙﾊﾞﾝﾄﾞ ﾒｯｷ</t>
  </si>
  <si>
    <t>HA7</t>
  </si>
  <si>
    <t>HA8</t>
  </si>
  <si>
    <t>HA9</t>
  </si>
  <si>
    <t>HA10</t>
  </si>
  <si>
    <t>HA11</t>
  </si>
  <si>
    <t>HA12</t>
  </si>
  <si>
    <t>HA13</t>
  </si>
  <si>
    <t>HA14</t>
  </si>
  <si>
    <t>HA15</t>
  </si>
  <si>
    <t>ﾊﾞﾝﾁﾗｯｸ</t>
  </si>
  <si>
    <t>HA16</t>
  </si>
  <si>
    <t>ﾋﾞｭｰﾃｨｰｸﾗﾝﾌﾟ</t>
  </si>
  <si>
    <t>HA17</t>
  </si>
  <si>
    <t>HA18</t>
  </si>
  <si>
    <t>HA19</t>
  </si>
  <si>
    <t>ﾊﾟｲﾌﾟﾊﾝｶﾞｰﾚｰﾙ SUS</t>
  </si>
  <si>
    <t>HA20</t>
  </si>
  <si>
    <t>ﾊﾟｲﾌﾟﾊﾝｶﾞｰﾚｰﾙ ﾒｯｷ</t>
  </si>
  <si>
    <t>HA21</t>
  </si>
  <si>
    <t>ﾊﾟｲﾌﾟﾊﾝｶﾞｰｸﾗﾝﾌﾟSUS</t>
  </si>
  <si>
    <t>HA22</t>
  </si>
  <si>
    <t>ﾊﾟﾝﾌﾟﾊﾝｶﾞｰｸﾗﾝﾌﾟﾒｯｷ</t>
  </si>
  <si>
    <t>ｺﾝﾋﾞﾈｰｼｮﾝｽﾊﾟﾅ</t>
  </si>
  <si>
    <t>ﾗﾁｪｯﾄﾊﾝﾄﾞﾙ</t>
  </si>
  <si>
    <t>ｴｸｽﾃﾝｼｮﾝﾊﾞｰ</t>
  </si>
  <si>
    <t>ｿｹｯﾄﾚﾝﾁｾｯﾄ</t>
  </si>
  <si>
    <t>ﾂｰﾙｾｯﾄ</t>
  </si>
  <si>
    <t>ﾍｷｻｺﾞﾝｿｹｯﾄ</t>
  </si>
  <si>
    <t>ｽﾅｯﾌﾟﾘﾝｸﾞﾌﾟﾗｲﾔｰ</t>
  </si>
  <si>
    <t>ﾀﾞｲﾔﾓﾝﾄﾞｶｯﾀｰ</t>
  </si>
  <si>
    <t>はつりｷﾝｸﾞﾌﾟﾛ</t>
  </si>
  <si>
    <t>ｽﾃｯﾌﾟﾄﾞﾘﾙ</t>
  </si>
  <si>
    <t>ﾓﾝｷｰﾚﾝﾁ</t>
  </si>
  <si>
    <t>ﾆｯﾊﾟ</t>
  </si>
  <si>
    <t>ﾊﾟｲﾌﾟﾚﾝﾁ</t>
  </si>
  <si>
    <t>ﾌﾟﾗｲﾔｰ</t>
  </si>
  <si>
    <t>ﾍﾟﾝﾁ</t>
  </si>
  <si>
    <t>ｿｹｯﾄﾋﾞｯﾄ</t>
  </si>
  <si>
    <t>ｳｫｰﾀｰﾎﾟﾝﾌﾟﾌﾟﾗｲﾔｰ</t>
  </si>
  <si>
    <t>ﾎﾙﾀﾞｰ</t>
  </si>
  <si>
    <t>ｱｰｽｸﾘｯﾌﾟ</t>
  </si>
  <si>
    <t>ｹｰﾌﾞﾙｼﾞｮｲﾝﾄ</t>
  </si>
  <si>
    <t>ｾｰﾌﾞﾎﾟｲﾝﾄ</t>
  </si>
  <si>
    <t>ｷｬﾌﾞﾀｲﾔｹｰﾌﾞﾙ</t>
  </si>
  <si>
    <t>K33</t>
  </si>
  <si>
    <t>K34</t>
  </si>
  <si>
    <t>ｶﾞﾗｽ</t>
  </si>
  <si>
    <t>K35</t>
  </si>
  <si>
    <t>K36</t>
  </si>
  <si>
    <t>K37</t>
  </si>
  <si>
    <t>ｺﾞｰｸﾞﾙｸﾘｯﾌﾟ</t>
  </si>
  <si>
    <t>K38</t>
  </si>
  <si>
    <t>ｶﾞｽﾄｰﾁ</t>
  </si>
  <si>
    <t>K39</t>
  </si>
  <si>
    <t>ｶﾞﾝ</t>
  </si>
  <si>
    <t>K40</t>
  </si>
  <si>
    <t>K41</t>
  </si>
  <si>
    <t>ﾎｰﾙｶｯﾀｰ</t>
  </si>
  <si>
    <t>K42</t>
  </si>
  <si>
    <t>ﾊｲｽｽﾄﾚｰﾄﾄﾞﾘﾙ</t>
  </si>
  <si>
    <t>K43</t>
  </si>
  <si>
    <t>ｺﾊﾞﾙﾄｽﾄﾚｰﾄﾄﾞﾘﾙ</t>
  </si>
  <si>
    <t>K44</t>
  </si>
  <si>
    <t>ﾒﾀﾙﾎﾞｰﾗｰ350A</t>
  </si>
  <si>
    <t>K45</t>
  </si>
  <si>
    <t>K46</t>
  </si>
  <si>
    <t>ﾃｰﾊﾟｰｼｬﾝｸﾄﾞﾘﾙ</t>
  </si>
  <si>
    <t>K47</t>
  </si>
  <si>
    <t>K48</t>
  </si>
  <si>
    <t>ｺｱﾄﾞﾘﾙ</t>
  </si>
  <si>
    <t>K49</t>
  </si>
  <si>
    <t>ｱﾝｶｰﾄﾞﾘﾙ</t>
  </si>
  <si>
    <t>K50</t>
  </si>
  <si>
    <t>ｱﾝｶｰﾄﾞﾘﾙﾛﾝｸﾞ</t>
  </si>
  <si>
    <t>K51</t>
  </si>
  <si>
    <t>ﾁｭｰﾌﾞﾍﾞﾝﾀﾞｰ</t>
  </si>
  <si>
    <t>K52</t>
  </si>
  <si>
    <t>ﾂｰﾙﾎﾞｯｸｽ</t>
  </si>
  <si>
    <t>K53</t>
  </si>
  <si>
    <t>K54</t>
  </si>
  <si>
    <t>ﾎﾟｰﾀﾌﾞﾙﾊﾞﾝﾄﾞｿｰ</t>
  </si>
  <si>
    <t>K55</t>
  </si>
  <si>
    <t>K56</t>
  </si>
  <si>
    <t>ｴﾝﾄﾞﾐﾙ 2GE</t>
  </si>
  <si>
    <t>K57</t>
  </si>
  <si>
    <t>ｴﾝﾄﾞﾐﾙ AGHV</t>
  </si>
  <si>
    <t>K58</t>
  </si>
  <si>
    <t>ｴﾝﾄﾞﾐﾙ EDS</t>
  </si>
  <si>
    <t>K59</t>
  </si>
  <si>
    <t>ﾍﾘｻｰﾄ</t>
  </si>
  <si>
    <t>K60</t>
  </si>
  <si>
    <t>ﾍﾘｻｰﾄﾀｯﾌﾟ</t>
  </si>
  <si>
    <t>K61</t>
  </si>
  <si>
    <t>K62</t>
  </si>
  <si>
    <t>ｽﾊﾟｲﾗﾙﾀｯﾌﾟEX-SFT</t>
  </si>
  <si>
    <t>K63</t>
  </si>
  <si>
    <t>ｽﾊﾟｲﾗﾙﾀｯﾌﾟEX-SUS-SFT</t>
  </si>
  <si>
    <t>K64</t>
  </si>
  <si>
    <t>ﾎﾟｲﾝﾄﾀｯﾌﾟEX-H-POT</t>
  </si>
  <si>
    <t>K65</t>
  </si>
  <si>
    <t>ﾊﾝﾄﾞﾀｯﾌﾟ</t>
  </si>
  <si>
    <t>K66</t>
  </si>
  <si>
    <t>K67</t>
  </si>
  <si>
    <t>ｽﾊﾟｰｿｰ</t>
  </si>
  <si>
    <t>K68</t>
  </si>
  <si>
    <t>ｺｰｷﾝｸﾞｶﾞﾝKEG</t>
  </si>
  <si>
    <t>K69</t>
  </si>
  <si>
    <t>ﾊﾝﾄﾞｿｰ</t>
  </si>
  <si>
    <t>K70</t>
  </si>
  <si>
    <t>K71</t>
  </si>
  <si>
    <t>ﾄﾞﾚｯｻｰﾎﾙﾀﾞｰDH-265 215-7292</t>
  </si>
  <si>
    <t>K72</t>
  </si>
  <si>
    <t>K73</t>
  </si>
  <si>
    <t>ﾀｯﾌﾟﾊﾝﾄﾞﾙ</t>
  </si>
  <si>
    <t>K74</t>
  </si>
  <si>
    <t>ﾀﾞｲｽﾊﾝﾄﾞﾙ</t>
  </si>
  <si>
    <t>K75</t>
  </si>
  <si>
    <t>ILIXｶｳﾝﾀｰｼﾝｸ</t>
  </si>
  <si>
    <t>K76</t>
  </si>
  <si>
    <t>K77</t>
  </si>
  <si>
    <t>ﾃｰﾊﾟｰﾋﾟﾝﾘｰﾏ TPR</t>
  </si>
  <si>
    <t>K78</t>
  </si>
  <si>
    <t>ﾊﾝﾄﾞﾘｰﾏ HR</t>
  </si>
  <si>
    <t>K79</t>
  </si>
  <si>
    <t>ﾏｼﾝﾘｰﾏ MR T1</t>
  </si>
  <si>
    <t>K80</t>
  </si>
  <si>
    <t>ﾏｼﾝﾘｰﾏ MR T2</t>
  </si>
  <si>
    <t>K81</t>
  </si>
  <si>
    <t>ｾﾝﾀｰﾄﾞﾘﾙ</t>
  </si>
  <si>
    <t>K82</t>
  </si>
  <si>
    <t>K83</t>
  </si>
  <si>
    <t>K84</t>
  </si>
  <si>
    <t>ｶﾞｽﾀｯﾌﾟ</t>
  </si>
  <si>
    <t>K85</t>
  </si>
  <si>
    <t>ｾﾞｯﾄﾌﾗｯｼｬｰ</t>
  </si>
  <si>
    <t>K86</t>
  </si>
  <si>
    <t>ｽﾃﾝｶｯﾀｰ</t>
  </si>
  <si>
    <t>K87</t>
  </si>
  <si>
    <t>ﾄﾞﾗｲﾊﾞｰ</t>
  </si>
  <si>
    <t>K88</t>
  </si>
  <si>
    <t>K89</t>
  </si>
  <si>
    <t>K90</t>
  </si>
  <si>
    <t>K91</t>
  </si>
  <si>
    <t>K92</t>
  </si>
  <si>
    <t>K93</t>
  </si>
  <si>
    <t>ｵｰﾙｱﾝｶｰC</t>
  </si>
  <si>
    <t>CTｱﾝｶｰCT</t>
  </si>
  <si>
    <t>F4</t>
  </si>
  <si>
    <t>CTｱﾝｶｰSCT</t>
  </si>
  <si>
    <t>F5</t>
  </si>
  <si>
    <t>F6</t>
  </si>
  <si>
    <t>ｸﾞﾘｯﾌﾟｱﾝｶｰGA</t>
  </si>
  <si>
    <t>F7</t>
  </si>
  <si>
    <t>ｵｰﾙﾌﾟﾗｸﾞMG</t>
  </si>
  <si>
    <t>F8</t>
  </si>
  <si>
    <t>F9</t>
  </si>
  <si>
    <t>ﾃｰﾊﾟｰﾋﾟﾝ</t>
  </si>
  <si>
    <t>EﾘﾝｸﾞETW</t>
  </si>
  <si>
    <t>KB7</t>
  </si>
  <si>
    <t>ｽﾌﾟﾘﾝｸﾞﾋﾟﾝ</t>
  </si>
  <si>
    <t>KB8</t>
  </si>
  <si>
    <t>KB9</t>
  </si>
  <si>
    <t>KB10</t>
  </si>
  <si>
    <t>ﾌｧｲﾝUﾅｯﾄ</t>
  </si>
  <si>
    <t>KB11</t>
  </si>
  <si>
    <t>ﾛｯﾄｴﾝﾄﾞ</t>
  </si>
  <si>
    <t>ｱｲﾎﾞﾙﾄ</t>
  </si>
  <si>
    <t>ｱｲﾅｯﾄ</t>
  </si>
  <si>
    <t>ﾜｲﾔｰｸﾘｯﾌﾟ</t>
  </si>
  <si>
    <t>NY4</t>
  </si>
  <si>
    <t>ｼｬｯｸﾙ</t>
  </si>
  <si>
    <t>NY5</t>
  </si>
  <si>
    <t>Uﾎﾞﾙﾄ</t>
  </si>
  <si>
    <t>NY6</t>
  </si>
  <si>
    <t>ﾁｪｰﾝﾌﾞﾛｯｸCB</t>
  </si>
  <si>
    <t>NY7</t>
  </si>
  <si>
    <t>ﾁｪｰﾝﾌﾞﾛｯｸCX</t>
  </si>
  <si>
    <t>NY8</t>
  </si>
  <si>
    <t>ﾚﾊﾞｰﾌﾞﾛｯｸLB</t>
  </si>
  <si>
    <t>NY9</t>
  </si>
  <si>
    <t>ﾚﾊﾞｰﾌﾞﾛｯｸLX</t>
  </si>
  <si>
    <t>NY10</t>
  </si>
  <si>
    <t>NY11</t>
  </si>
  <si>
    <t>ｽｺﾔ</t>
  </si>
  <si>
    <t>ｼｯｸﾈｽｹﾞｰｼﾞ</t>
  </si>
  <si>
    <t>ﾀﾞｲﾔﾙｹﾞｰｼﾞ</t>
  </si>
  <si>
    <t>ｽｷﾏｹﾞｰｼﾞ</t>
  </si>
  <si>
    <t>SK8</t>
  </si>
  <si>
    <t>ﾃｰﾊﾟｰｹﾞｰｼﾞ</t>
  </si>
  <si>
    <t>SK9</t>
  </si>
  <si>
    <t>ｾｯﾃｨﾝｸﾞﾒｼﾞｬｰ</t>
  </si>
  <si>
    <t>SK10</t>
  </si>
  <si>
    <t>SK11</t>
  </si>
  <si>
    <t>SK12</t>
  </si>
  <si>
    <t>ﾉｷﾞｽ</t>
  </si>
  <si>
    <t>SK13</t>
  </si>
  <si>
    <t>SK14</t>
  </si>
  <si>
    <t>Vﾍﾞﾙﾄ A</t>
  </si>
  <si>
    <t>Vﾍﾞﾙﾄ B</t>
  </si>
  <si>
    <t>ｳｪｯｼﾞﾍﾞﾙﾄ 3V</t>
  </si>
  <si>
    <t>ｳｪｯｼﾞﾍﾞﾙﾄ 5V</t>
  </si>
  <si>
    <t>ﾊｲﾊﾟｰﾌﾚｯｸｽｶｯﾌﾟﾘﾝｸﾞMH</t>
  </si>
  <si>
    <t>ﾊｲﾊﾟｰﾌﾚｯｸｽｶｯﾌﾟﾘﾝｸﾞMT</t>
  </si>
  <si>
    <t>ﾁｪｰﾝﾎｲﾙ</t>
  </si>
  <si>
    <t>ﾗﾌﾞﾌﾚｯｸｽｶｯﾌﾟﾘﾝｸﾞRF</t>
  </si>
  <si>
    <t>SN500ｼﾘｰｽﾞ</t>
  </si>
  <si>
    <t>SN600ｼﾘｰｽﾞ</t>
  </si>
  <si>
    <t>ｵｲﾙｼｰﾙZF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</si>
  <si>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</si>
  <si>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</si>
  <si>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</si>
  <si>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</si>
  <si>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</si>
  <si>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</si>
  <si>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</si>
  <si>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</si>
  <si>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</si>
  <si>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</si>
  <si>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</si>
  <si>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</si>
  <si>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</si>
  <si>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</si>
  <si>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ﾀﾞｲﾀﾞｲﾝ ﾌﾞｯｼｭ K5B</t>
  </si>
  <si>
    <t>C30</t>
  </si>
  <si>
    <t>C31</t>
  </si>
  <si>
    <t>C32</t>
  </si>
  <si>
    <t>AW</t>
  </si>
  <si>
    <t>C33</t>
  </si>
  <si>
    <t>H□X</t>
  </si>
  <si>
    <t>C34</t>
  </si>
  <si>
    <t>ﾐﾆﾁｭｱﾍﾞｱﾘﾝｸﾞ</t>
  </si>
  <si>
    <t>ﾋﾟﾛｰﾌﾞﾛｯｸ BLFL</t>
  </si>
  <si>
    <t>ﾋﾟﾛｰﾌﾞﾛｯｸ UCP</t>
  </si>
  <si>
    <t>BE4</t>
  </si>
  <si>
    <t>ﾋﾟﾛｰﾌﾞﾛｯｸ UKP</t>
  </si>
  <si>
    <t>BE5</t>
  </si>
  <si>
    <t>ﾋﾟﾛｰﾌﾞﾛｯｸ UCF</t>
  </si>
  <si>
    <t>BE6</t>
  </si>
  <si>
    <t>ﾋﾟﾛｰﾌﾞﾛｯｸ UKF</t>
  </si>
  <si>
    <t>BE7</t>
  </si>
  <si>
    <t>ﾋﾟﾛｰﾌﾞﾛｯｸ UCFL</t>
  </si>
  <si>
    <t>BE8</t>
  </si>
  <si>
    <t>ﾋﾟﾛｰﾌﾞﾛｯｸ UKFL</t>
  </si>
  <si>
    <t>BE9</t>
  </si>
  <si>
    <t>ﾋﾟﾛｰﾌﾞﾛｯｸ UCPA</t>
  </si>
  <si>
    <t>BE10</t>
  </si>
  <si>
    <t>ﾋﾟﾛｰﾌﾞﾛｯｸ UKPA</t>
  </si>
  <si>
    <t>BE11</t>
  </si>
  <si>
    <t>ﾋﾟﾛｰﾌﾞﾛｯｸ UCFA</t>
  </si>
  <si>
    <t>BE12</t>
  </si>
  <si>
    <t>ﾋﾟﾛｰﾌﾞﾛｯｸ UKFA</t>
  </si>
  <si>
    <t>BE13</t>
  </si>
  <si>
    <t>ﾋﾟﾛｰﾌﾞﾛｯｸ UCFK</t>
  </si>
  <si>
    <t>BE14</t>
  </si>
  <si>
    <t>ﾋﾟﾛｰﾌﾞﾛｯｸ UKFK</t>
  </si>
  <si>
    <t>BE15</t>
  </si>
  <si>
    <t>ﾋﾟﾛｰﾌﾞﾛｯｸ UCFC</t>
  </si>
  <si>
    <t>BE16</t>
  </si>
  <si>
    <t>ﾋﾟﾛｰﾌﾞﾛｯｸ UKFC</t>
  </si>
  <si>
    <t>BE17</t>
  </si>
  <si>
    <t>ﾋﾟﾛｰﾌﾞﾛｯｸ UCT</t>
  </si>
  <si>
    <t>BE18</t>
  </si>
  <si>
    <t>ﾋﾟﾛｰﾌﾞﾛｯｸ UKT</t>
  </si>
  <si>
    <t>BE19</t>
  </si>
  <si>
    <t>ﾋﾟﾛｰﾌﾞﾛｯｸ UCC</t>
  </si>
  <si>
    <t>BE20</t>
  </si>
  <si>
    <t>ﾋﾟﾛｰﾌﾞﾛｯｸ UKC</t>
  </si>
  <si>
    <t>BE21</t>
  </si>
  <si>
    <t>ﾋﾟﾛｰﾌﾞﾛｯｸ UCPH</t>
  </si>
  <si>
    <t>BE22</t>
  </si>
  <si>
    <t>ﾋﾟﾛｰﾌﾞﾛｯｸ UKPH</t>
  </si>
  <si>
    <t>BE23</t>
  </si>
  <si>
    <t>ﾋﾟﾛｰ UC</t>
  </si>
  <si>
    <t>BE24</t>
  </si>
  <si>
    <t>ﾋﾟﾛｰ UK</t>
  </si>
  <si>
    <t>ﾕﾆｵﾝﾊﾟｯｷﾝ</t>
  </si>
  <si>
    <t>ｸﾞﾘｽｺｯﾄﾝﾊﾟｯｷﾝ</t>
  </si>
  <si>
    <t>#6501L</t>
  </si>
  <si>
    <t>FB#4147L</t>
  </si>
  <si>
    <t>#4516L</t>
  </si>
  <si>
    <t xml:space="preserve">ｷｬｽﾀｰ </t>
  </si>
  <si>
    <t>KS3</t>
  </si>
  <si>
    <t>№903UL</t>
  </si>
  <si>
    <t>TE2</t>
  </si>
  <si>
    <t>№973UL-S</t>
  </si>
  <si>
    <t>FRﾕﾆｯﾄ</t>
  </si>
  <si>
    <t>KU2</t>
  </si>
  <si>
    <t>KU3</t>
  </si>
  <si>
    <t>ｴｱﾌｨﾙﾀ</t>
  </si>
  <si>
    <t>KU4</t>
  </si>
  <si>
    <t>KU5</t>
  </si>
  <si>
    <t>KU6</t>
  </si>
  <si>
    <t>ｻｲﾚﾝｻ</t>
  </si>
  <si>
    <t>KU7</t>
  </si>
  <si>
    <t>KU8</t>
  </si>
  <si>
    <t>KU9</t>
  </si>
  <si>
    <t>ﾊﾝﾄﾞﾊﾞﾙﾌﾞ</t>
  </si>
  <si>
    <t>KU10</t>
  </si>
  <si>
    <t>KU11</t>
  </si>
  <si>
    <t>KU12</t>
  </si>
  <si>
    <t>KU13</t>
  </si>
  <si>
    <t>VA9</t>
  </si>
  <si>
    <t>VA10</t>
  </si>
  <si>
    <t>VA11</t>
  </si>
  <si>
    <t>VA12</t>
  </si>
  <si>
    <t>VA13</t>
  </si>
  <si>
    <t>ｽﾃﾝﾚｽ ﾈｼﾞｺﾐ10K-UCL</t>
  </si>
  <si>
    <t>VA14</t>
  </si>
  <si>
    <t>ｽﾃﾝﾚｽ ﾈｼﾞｺﾐ10K-UEL</t>
  </si>
  <si>
    <t>VA15</t>
  </si>
  <si>
    <t>ｽﾃﾝﾚｽ ﾈｼﾞｺﾐ10K-UO</t>
  </si>
  <si>
    <t>VA16</t>
  </si>
  <si>
    <t>ｽﾃﾝﾚｽ ﾈｼﾞｺﾐ20K-UY</t>
  </si>
  <si>
    <t>VA17</t>
  </si>
  <si>
    <t>ｽﾃﾝﾚｽ ﾈｼﾞｺﾐ10K-UOB</t>
  </si>
  <si>
    <t>VA18</t>
  </si>
  <si>
    <t>ｽﾃﾝﾚｽ ﾈｼﾞｺﾐ10K-10UOA</t>
  </si>
  <si>
    <t>VA19</t>
  </si>
  <si>
    <t>ｽﾃﾝﾚｽ ﾌﾗﾝｼﾞ10K-10UMA</t>
  </si>
  <si>
    <t>VA20</t>
  </si>
  <si>
    <t>ｽﾃﾝﾚｽ ﾌﾗﾝｼﾞ10K-10UTB</t>
  </si>
  <si>
    <t>VA21</t>
  </si>
  <si>
    <t>VA22</t>
  </si>
  <si>
    <t>ﾀﾞｸﾀｲﾙ ﾈｼﾞｺﾐ10K-10SD</t>
  </si>
  <si>
    <t>VA23</t>
  </si>
  <si>
    <t>ﾀﾞｸﾀｲﾙ ﾌﾗﾝｼﾞ10K-10SPBF</t>
  </si>
  <si>
    <t>VA24</t>
  </si>
  <si>
    <t>ﾀﾞｸﾀｲﾙ ﾌﾗﾝｼﾞ10K-10SPBOF</t>
  </si>
  <si>
    <t>VA25</t>
  </si>
  <si>
    <t>ﾀﾞｸﾀｲﾙ ﾌﾗﾝｼﾞ10K-10SMBF</t>
  </si>
  <si>
    <t>VA26</t>
  </si>
  <si>
    <t>ﾀﾞｸﾀｲﾙ ﾌﾗﾝｼﾞ10K-10SMBOF</t>
  </si>
  <si>
    <t>VA27</t>
  </si>
  <si>
    <t>ﾀﾞｸﾀｲﾙ ﾈｼﾞｺﾐ20K-20SY</t>
  </si>
  <si>
    <t>VA28</t>
  </si>
  <si>
    <t>ﾀﾞｸﾀｲﾙ ﾌﾗﾝｼﾞ20K-20SYB</t>
  </si>
  <si>
    <t>VA29</t>
  </si>
  <si>
    <t>ﾀﾞｸﾀｲﾙ ﾌﾗﾝｼﾞ20K-20SYBO</t>
  </si>
  <si>
    <t>VA30</t>
  </si>
  <si>
    <t>ﾀﾞｸﾀｲﾙ ﾌﾗﾝｼﾞ20K-20SLBO</t>
  </si>
  <si>
    <t>VA31</t>
  </si>
  <si>
    <t>VA32</t>
  </si>
  <si>
    <t>VA33</t>
  </si>
  <si>
    <t>VA34</t>
  </si>
  <si>
    <t>VA35</t>
  </si>
  <si>
    <t>VA36</t>
  </si>
  <si>
    <t>VA37</t>
  </si>
  <si>
    <t>VA38</t>
  </si>
  <si>
    <t>ｱﾙﾐG-10XJME</t>
  </si>
  <si>
    <t>VA39</t>
  </si>
  <si>
    <t>VA40</t>
  </si>
  <si>
    <t>A3-N</t>
  </si>
  <si>
    <t>VA41</t>
  </si>
  <si>
    <t>SD1</t>
  </si>
  <si>
    <t>VA42</t>
  </si>
  <si>
    <t>VA43</t>
  </si>
  <si>
    <t>鋳物ｳｫｰﾑｷﾞﾔ式700G-2U</t>
  </si>
  <si>
    <t>VA44</t>
  </si>
  <si>
    <t>鋳物ｳｫｰﾑｷﾞﾔ式705G-2U</t>
  </si>
  <si>
    <t>VA45</t>
  </si>
  <si>
    <t>VA46</t>
  </si>
  <si>
    <t>VA47</t>
  </si>
  <si>
    <t>VA48</t>
  </si>
  <si>
    <t>ﾚｯﾄﾞﾏﾝ ﾈｼﾞｺﾐDP-100</t>
  </si>
  <si>
    <t>VA49</t>
  </si>
  <si>
    <t>FU2</t>
  </si>
  <si>
    <t>FU3</t>
  </si>
  <si>
    <t>FU4</t>
  </si>
  <si>
    <t>AT1/4X60</t>
  </si>
  <si>
    <t>AT3/8X75</t>
  </si>
  <si>
    <t>AT3/8X100</t>
  </si>
  <si>
    <t>A4</t>
  </si>
  <si>
    <t>BT1/4X60</t>
  </si>
  <si>
    <t>A5</t>
  </si>
  <si>
    <t>BT3/8X75</t>
  </si>
  <si>
    <t>A6</t>
  </si>
  <si>
    <t>BT3/8X100</t>
  </si>
  <si>
    <t>A7</t>
  </si>
  <si>
    <t>AT1/4RX60-</t>
  </si>
  <si>
    <t>A8</t>
  </si>
  <si>
    <t>AT3/8RX75-</t>
  </si>
  <si>
    <t>A9</t>
  </si>
  <si>
    <t>AT3/8RX100-</t>
  </si>
  <si>
    <t>A10</t>
  </si>
  <si>
    <t>BT1/4RX60-</t>
  </si>
  <si>
    <t>A11</t>
  </si>
  <si>
    <t>BT3/8RX75-</t>
  </si>
  <si>
    <t>A12</t>
  </si>
  <si>
    <t>BT3/8RX100-</t>
  </si>
  <si>
    <t>A13</t>
  </si>
  <si>
    <t>ﾒｰﾄﾙｺｯｸSUS</t>
  </si>
  <si>
    <t>A14</t>
  </si>
  <si>
    <t>ﾒｰﾄﾙﾊﾟｲﾌﾟSUS</t>
  </si>
  <si>
    <t>A15</t>
  </si>
  <si>
    <t>ﾒｰﾄﾙｺｯｸBC</t>
  </si>
  <si>
    <t>952249</t>
    <phoneticPr fontId="1"/>
  </si>
  <si>
    <t>日本ﾃﾞｺﾗ</t>
  </si>
  <si>
    <t>前田工繊</t>
    <rPh sb="0" eb="2">
      <t>マエダ</t>
    </rPh>
    <rPh sb="2" eb="3">
      <t>コウ</t>
    </rPh>
    <rPh sb="3" eb="4">
      <t>セン</t>
    </rPh>
    <phoneticPr fontId="1"/>
  </si>
  <si>
    <t>952072</t>
    <phoneticPr fontId="1"/>
  </si>
  <si>
    <t>ﾆｯﾀ･ﾑｱｰ</t>
    <phoneticPr fontId="1"/>
  </si>
  <si>
    <t>受注生産品</t>
    <rPh sb="0" eb="5">
      <t>ジュチュウセイサンヒン</t>
    </rPh>
    <phoneticPr fontId="1"/>
  </si>
  <si>
    <t>売切在庫品</t>
    <rPh sb="0" eb="2">
      <t>ウリキ</t>
    </rPh>
    <rPh sb="2" eb="4">
      <t>ザイコ</t>
    </rPh>
    <rPh sb="4" eb="5">
      <t>ヒン</t>
    </rPh>
    <phoneticPr fontId="1"/>
  </si>
  <si>
    <t>ｲﾉｯｸ</t>
    <phoneticPr fontId="1"/>
  </si>
  <si>
    <t>㈱SGM　物件</t>
    <rPh sb="5" eb="7">
      <t>ブッケン</t>
    </rPh>
    <phoneticPr fontId="1"/>
  </si>
  <si>
    <t>ｴﾋﾒ紙工</t>
    <rPh sb="3" eb="5">
      <t>シコウ</t>
    </rPh>
    <phoneticPr fontId="1"/>
  </si>
  <si>
    <t>ｵｰｸﾗ製紙</t>
    <rPh sb="4" eb="6">
      <t>セイシ</t>
    </rPh>
    <phoneticPr fontId="1"/>
  </si>
  <si>
    <t>㈱越智技研工業</t>
    <rPh sb="1" eb="3">
      <t>オチ</t>
    </rPh>
    <rPh sb="3" eb="5">
      <t>ギケン</t>
    </rPh>
    <rPh sb="5" eb="7">
      <t>コウギョウ</t>
    </rPh>
    <phoneticPr fontId="1"/>
  </si>
  <si>
    <t>ｶﾐ商事㈱ｶﾐ鉄工</t>
    <rPh sb="2" eb="4">
      <t>ショウジ</t>
    </rPh>
    <rPh sb="7" eb="9">
      <t>テッコウ</t>
    </rPh>
    <phoneticPr fontId="1"/>
  </si>
  <si>
    <t>川之江港湾運送</t>
    <rPh sb="0" eb="3">
      <t>カワノエ</t>
    </rPh>
    <rPh sb="3" eb="5">
      <t>コウワン</t>
    </rPh>
    <rPh sb="5" eb="7">
      <t>ウンソウ</t>
    </rPh>
    <phoneticPr fontId="1"/>
  </si>
  <si>
    <t>ｶﾐ商事　川之江</t>
    <rPh sb="2" eb="4">
      <t>ショウジ</t>
    </rPh>
    <rPh sb="5" eb="8">
      <t>カワノエ</t>
    </rPh>
    <phoneticPr fontId="1"/>
  </si>
  <si>
    <t>㈱岸製作所</t>
    <rPh sb="1" eb="2">
      <t>キシ</t>
    </rPh>
    <rPh sb="2" eb="5">
      <t>セイサクショ</t>
    </rPh>
    <phoneticPr fontId="1"/>
  </si>
  <si>
    <t>㈱岸本水引店</t>
    <rPh sb="1" eb="3">
      <t>キシモト</t>
    </rPh>
    <rPh sb="3" eb="5">
      <t>ミズヒキ</t>
    </rPh>
    <rPh sb="5" eb="6">
      <t>テン</t>
    </rPh>
    <phoneticPr fontId="1"/>
  </si>
  <si>
    <t>合鹿製紙(有)</t>
    <rPh sb="0" eb="1">
      <t>ゴウ</t>
    </rPh>
    <rPh sb="1" eb="2">
      <t>シカ</t>
    </rPh>
    <rPh sb="2" eb="4">
      <t>セイシ</t>
    </rPh>
    <rPh sb="4" eb="7">
      <t>ユウ</t>
    </rPh>
    <phoneticPr fontId="1"/>
  </si>
  <si>
    <t>㈱佐々木ｴﾝｼﾞﾆｱﾘﾝｸﾞ</t>
    <rPh sb="1" eb="4">
      <t>ササキ</t>
    </rPh>
    <phoneticPr fontId="1"/>
  </si>
  <si>
    <t>丸住製紙株式会社　大江B</t>
    <rPh sb="0" eb="2">
      <t>マルスミ</t>
    </rPh>
    <rPh sb="2" eb="4">
      <t>セイシ</t>
    </rPh>
    <rPh sb="4" eb="8">
      <t>カブシキガイシャ</t>
    </rPh>
    <rPh sb="9" eb="11">
      <t>オオエ</t>
    </rPh>
    <phoneticPr fontId="1"/>
  </si>
  <si>
    <t>五月興産㈱</t>
    <rPh sb="0" eb="1">
      <t>ゴ</t>
    </rPh>
    <rPh sb="1" eb="2">
      <t>ツキ</t>
    </rPh>
    <rPh sb="2" eb="4">
      <t>コウサン</t>
    </rPh>
    <phoneticPr fontId="1"/>
  </si>
  <si>
    <t>大昌鉄工所</t>
    <rPh sb="0" eb="4">
      <t>ダイショウテッコウ</t>
    </rPh>
    <rPh sb="4" eb="5">
      <t>ショ</t>
    </rPh>
    <phoneticPr fontId="1"/>
  </si>
  <si>
    <t>旭ｼﾝｸﾛﾃｯｸ㈱阿南</t>
    <rPh sb="0" eb="1">
      <t>アサヒ</t>
    </rPh>
    <rPh sb="9" eb="11">
      <t>アナン</t>
    </rPh>
    <phoneticPr fontId="1"/>
  </si>
  <si>
    <t>旭ｼﾝｸﾛﾃｯｸ㈱名古屋</t>
    <rPh sb="0" eb="1">
      <t>アサヒ</t>
    </rPh>
    <rPh sb="9" eb="12">
      <t>ナゴヤ</t>
    </rPh>
    <phoneticPr fontId="1"/>
  </si>
  <si>
    <t>中央動力</t>
    <rPh sb="0" eb="2">
      <t>チュウオウ</t>
    </rPh>
    <rPh sb="2" eb="4">
      <t>ドウリョク</t>
    </rPh>
    <phoneticPr fontId="1"/>
  </si>
  <si>
    <t>中央電機工業</t>
    <rPh sb="0" eb="2">
      <t>チュウオウ</t>
    </rPh>
    <rPh sb="2" eb="4">
      <t>デンキ</t>
    </rPh>
    <rPh sb="4" eb="6">
      <t>コウギョウ</t>
    </rPh>
    <phoneticPr fontId="1"/>
  </si>
  <si>
    <t>福助工業㈱野田工場</t>
    <rPh sb="0" eb="2">
      <t>フクスケ</t>
    </rPh>
    <rPh sb="2" eb="4">
      <t>コウギョウ</t>
    </rPh>
    <rPh sb="5" eb="7">
      <t>ノダ</t>
    </rPh>
    <rPh sb="7" eb="9">
      <t>コウジョウ</t>
    </rPh>
    <phoneticPr fontId="1"/>
  </si>
  <si>
    <t>㈱豊岡製作所</t>
    <rPh sb="1" eb="3">
      <t>トヨオカ</t>
    </rPh>
    <rPh sb="3" eb="6">
      <t>セイサクショ</t>
    </rPh>
    <phoneticPr fontId="1"/>
  </si>
  <si>
    <t>三和紙工㈱</t>
    <rPh sb="0" eb="2">
      <t>サンワ</t>
    </rPh>
    <rPh sb="2" eb="4">
      <t>シコウ</t>
    </rPh>
    <phoneticPr fontId="1"/>
  </si>
  <si>
    <t>大黒工業㈱　川之江工場</t>
    <rPh sb="0" eb="2">
      <t>ダイコク</t>
    </rPh>
    <rPh sb="2" eb="4">
      <t>コウギョウ</t>
    </rPh>
    <rPh sb="6" eb="11">
      <t>カワノエコウジョウ</t>
    </rPh>
    <phoneticPr fontId="1"/>
  </si>
  <si>
    <t>野々山ｴﾝｼﾞ</t>
    <rPh sb="0" eb="3">
      <t>ノノヤマ</t>
    </rPh>
    <phoneticPr fontId="1"/>
  </si>
  <si>
    <t>福助工業㈱</t>
    <rPh sb="0" eb="2">
      <t>フクスケ</t>
    </rPh>
    <rPh sb="2" eb="4">
      <t>コウギョウ</t>
    </rPh>
    <phoneticPr fontId="1"/>
  </si>
  <si>
    <t>土居福助</t>
    <rPh sb="0" eb="2">
      <t>ドイ</t>
    </rPh>
    <rPh sb="2" eb="4">
      <t>フクスケ</t>
    </rPh>
    <phoneticPr fontId="1"/>
  </si>
  <si>
    <t>関川福助</t>
    <rPh sb="0" eb="2">
      <t>セキガワ</t>
    </rPh>
    <rPh sb="2" eb="4">
      <t>フクスケ</t>
    </rPh>
    <phoneticPr fontId="1"/>
  </si>
  <si>
    <t>丸住ﾃｯｸ</t>
    <rPh sb="0" eb="2">
      <t>マルスミ</t>
    </rPh>
    <phoneticPr fontId="1"/>
  </si>
  <si>
    <t>福田製紙</t>
    <rPh sb="0" eb="2">
      <t>フクダ</t>
    </rPh>
    <rPh sb="2" eb="4">
      <t>セイシ</t>
    </rPh>
    <phoneticPr fontId="1"/>
  </si>
  <si>
    <t>丸住製紙㈱大江</t>
    <rPh sb="0" eb="2">
      <t>マルスミ</t>
    </rPh>
    <rPh sb="2" eb="4">
      <t>セイシ</t>
    </rPh>
    <rPh sb="5" eb="7">
      <t>オオエ</t>
    </rPh>
    <phoneticPr fontId="1"/>
  </si>
  <si>
    <t>丸住ｴﾝｼﾞﾆｱﾘﾝｸﾞ</t>
    <rPh sb="0" eb="2">
      <t>マルスミ</t>
    </rPh>
    <phoneticPr fontId="1"/>
  </si>
  <si>
    <t>丸三製紙</t>
    <rPh sb="0" eb="2">
      <t>マルサン</t>
    </rPh>
    <rPh sb="2" eb="4">
      <t>セイシ</t>
    </rPh>
    <phoneticPr fontId="1"/>
  </si>
  <si>
    <t>松本鉄工所</t>
    <rPh sb="0" eb="2">
      <t>マツモト</t>
    </rPh>
    <rPh sb="2" eb="5">
      <t>テッコウショ</t>
    </rPh>
    <phoneticPr fontId="1"/>
  </si>
  <si>
    <t>ﾏﾙｳ接着株式会社</t>
    <rPh sb="3" eb="5">
      <t>セッチャク</t>
    </rPh>
    <rPh sb="5" eb="9">
      <t>カブシキガイシャ</t>
    </rPh>
    <phoneticPr fontId="1"/>
  </si>
  <si>
    <t>三好鉄工所</t>
    <rPh sb="0" eb="2">
      <t>ミヨシ</t>
    </rPh>
    <rPh sb="2" eb="5">
      <t>テッコウショ</t>
    </rPh>
    <phoneticPr fontId="1"/>
  </si>
  <si>
    <t>(有)幸電設</t>
    <rPh sb="0" eb="3">
      <t>ユウ</t>
    </rPh>
    <rPh sb="3" eb="4">
      <t>ミユキ</t>
    </rPh>
    <rPh sb="4" eb="6">
      <t>デンセツ</t>
    </rPh>
    <phoneticPr fontId="1"/>
  </si>
  <si>
    <t>明和ｺﾞﾑ工業㈱</t>
    <rPh sb="0" eb="2">
      <t>メイワ</t>
    </rPh>
    <rPh sb="5" eb="7">
      <t>コウギョウ</t>
    </rPh>
    <phoneticPr fontId="1"/>
  </si>
  <si>
    <t>森下製紙</t>
    <rPh sb="0" eb="2">
      <t>モリシタ</t>
    </rPh>
    <rPh sb="2" eb="4">
      <t>セイシ</t>
    </rPh>
    <phoneticPr fontId="1"/>
  </si>
  <si>
    <t>梅錦山川</t>
    <rPh sb="0" eb="1">
      <t>ウメ</t>
    </rPh>
    <rPh sb="1" eb="2">
      <t>ニシキ</t>
    </rPh>
    <rPh sb="2" eb="4">
      <t>ヤマカワ</t>
    </rPh>
    <phoneticPr fontId="1"/>
  </si>
  <si>
    <t>新居浜福助</t>
    <rPh sb="0" eb="3">
      <t>ニイハマ</t>
    </rPh>
    <rPh sb="3" eb="5">
      <t>フクスケ</t>
    </rPh>
    <phoneticPr fontId="1"/>
  </si>
  <si>
    <t>伊予産業機工</t>
    <rPh sb="0" eb="2">
      <t>イヨ</t>
    </rPh>
    <rPh sb="2" eb="4">
      <t>サンギョウ</t>
    </rPh>
    <rPh sb="4" eb="6">
      <t>キコウ</t>
    </rPh>
    <phoneticPr fontId="1"/>
  </si>
  <si>
    <t>旭ｼﾝｸﾛﾃｯｸ</t>
    <rPh sb="0" eb="1">
      <t>アサヒ</t>
    </rPh>
    <phoneticPr fontId="1"/>
  </si>
  <si>
    <t>三共ｴﾝｼﾞ　ﾌﾟﾗﾝﾄ</t>
    <rPh sb="0" eb="2">
      <t>サンキョウ</t>
    </rPh>
    <phoneticPr fontId="1"/>
  </si>
  <si>
    <t>三共ｵｰﾄｻｰﾋﾞｽ</t>
    <rPh sb="0" eb="2">
      <t>サンキョウ</t>
    </rPh>
    <phoneticPr fontId="1"/>
  </si>
  <si>
    <t>捉伸工事株式会社</t>
    <rPh sb="0" eb="1">
      <t>ソク</t>
    </rPh>
    <rPh sb="1" eb="2">
      <t>シン</t>
    </rPh>
    <rPh sb="2" eb="4">
      <t>コウジ</t>
    </rPh>
    <phoneticPr fontId="1"/>
  </si>
  <si>
    <t>粟井機鋼株式会社</t>
    <rPh sb="0" eb="2">
      <t>アワイ</t>
    </rPh>
    <rPh sb="2" eb="4">
      <t>キコウ</t>
    </rPh>
    <rPh sb="4" eb="8">
      <t>カブシキガイシャ</t>
    </rPh>
    <phoneticPr fontId="1"/>
  </si>
  <si>
    <t>丸住興産</t>
    <rPh sb="0" eb="2">
      <t>マルスミ</t>
    </rPh>
    <rPh sb="2" eb="4">
      <t>コウサン</t>
    </rPh>
    <phoneticPr fontId="1"/>
  </si>
  <si>
    <t>川之江土建産㈱</t>
    <rPh sb="0" eb="3">
      <t>カワノエ</t>
    </rPh>
    <rPh sb="3" eb="5">
      <t>ドケン</t>
    </rPh>
    <rPh sb="5" eb="6">
      <t>サン</t>
    </rPh>
    <phoneticPr fontId="1"/>
  </si>
  <si>
    <t>仙波水道工業</t>
    <rPh sb="0" eb="2">
      <t>センバ</t>
    </rPh>
    <rPh sb="2" eb="4">
      <t>スイドウ</t>
    </rPh>
    <rPh sb="4" eb="6">
      <t>コウギョウ</t>
    </rPh>
    <phoneticPr fontId="1"/>
  </si>
  <si>
    <t>仙波商事</t>
    <rPh sb="0" eb="2">
      <t>センバ</t>
    </rPh>
    <rPh sb="2" eb="4">
      <t>ショウジ</t>
    </rPh>
    <phoneticPr fontId="1"/>
  </si>
  <si>
    <t>大柏建設</t>
    <rPh sb="0" eb="2">
      <t>オオカシワ</t>
    </rPh>
    <rPh sb="2" eb="4">
      <t>ケンセツ</t>
    </rPh>
    <phoneticPr fontId="1"/>
  </si>
  <si>
    <t>真鍋住設</t>
    <rPh sb="0" eb="2">
      <t>マナベ</t>
    </rPh>
    <rPh sb="2" eb="4">
      <t>ジュウセツ</t>
    </rPh>
    <phoneticPr fontId="1"/>
  </si>
  <si>
    <t>三共ｴﾝｼﾞ　ｴﾝｼﾞﾝｻｰﾋﾞｽ</t>
    <rPh sb="0" eb="2">
      <t>サンキョウ</t>
    </rPh>
    <phoneticPr fontId="1"/>
  </si>
  <si>
    <t>秋山工業</t>
    <rPh sb="0" eb="2">
      <t>アキヤマ</t>
    </rPh>
    <rPh sb="2" eb="4">
      <t>コウギョウ</t>
    </rPh>
    <phoneticPr fontId="1"/>
  </si>
  <si>
    <t>安部製紙</t>
    <rPh sb="0" eb="2">
      <t>アベ</t>
    </rPh>
    <rPh sb="2" eb="4">
      <t>セイシ</t>
    </rPh>
    <phoneticPr fontId="1"/>
  </si>
  <si>
    <t>青木製紙所</t>
    <rPh sb="0" eb="2">
      <t>アオキ</t>
    </rPh>
    <rPh sb="2" eb="4">
      <t>セイシ</t>
    </rPh>
    <rPh sb="4" eb="5">
      <t>ショ</t>
    </rPh>
    <phoneticPr fontId="1"/>
  </si>
  <si>
    <t>井川紙加工所</t>
    <rPh sb="0" eb="2">
      <t>イカワ</t>
    </rPh>
    <rPh sb="2" eb="3">
      <t>カミ</t>
    </rPh>
    <rPh sb="3" eb="5">
      <t>カコウ</t>
    </rPh>
    <rPh sb="5" eb="6">
      <t>ショ</t>
    </rPh>
    <phoneticPr fontId="1"/>
  </si>
  <si>
    <t>宮内建設</t>
    <rPh sb="0" eb="2">
      <t>ミヤウチ</t>
    </rPh>
    <rPh sb="2" eb="4">
      <t>ケンセツ</t>
    </rPh>
    <phoneticPr fontId="1"/>
  </si>
  <si>
    <t>UK商会</t>
    <rPh sb="2" eb="4">
      <t>ショウカイ</t>
    </rPh>
    <phoneticPr fontId="1"/>
  </si>
  <si>
    <t>生吉鉄工所</t>
    <rPh sb="0" eb="1">
      <t>イ</t>
    </rPh>
    <rPh sb="1" eb="2">
      <t>ヨシ</t>
    </rPh>
    <rPh sb="2" eb="5">
      <t>テッコウショ</t>
    </rPh>
    <phoneticPr fontId="1"/>
  </si>
  <si>
    <t>泉製紙</t>
    <rPh sb="0" eb="1">
      <t>イズミ</t>
    </rPh>
    <rPh sb="1" eb="3">
      <t>セイシ</t>
    </rPh>
    <phoneticPr fontId="1"/>
  </si>
  <si>
    <t>ｴﾉｷﾊﾟﾙﾌﾟ鉄工</t>
    <rPh sb="8" eb="10">
      <t>テッコウ</t>
    </rPh>
    <phoneticPr fontId="1"/>
  </si>
  <si>
    <t>旭ｼﾝｸﾛﾃｯｸ本社</t>
    <rPh sb="0" eb="1">
      <t>アサヒ</t>
    </rPh>
    <rPh sb="8" eb="10">
      <t>ホンシャ</t>
    </rPh>
    <phoneticPr fontId="1"/>
  </si>
  <si>
    <t>加地製作所</t>
    <rPh sb="0" eb="2">
      <t>カジ</t>
    </rPh>
    <rPh sb="2" eb="5">
      <t>セイサクショ</t>
    </rPh>
    <phoneticPr fontId="1"/>
  </si>
  <si>
    <t>王子ｺﾝﾃﾅ愛媛工場</t>
    <rPh sb="0" eb="2">
      <t>オウジ</t>
    </rPh>
    <rPh sb="6" eb="8">
      <t>エヒメ</t>
    </rPh>
    <rPh sb="8" eb="10">
      <t>コウジョウ</t>
    </rPh>
    <phoneticPr fontId="1"/>
  </si>
  <si>
    <t>大西機工</t>
    <rPh sb="0" eb="2">
      <t>オオニシ</t>
    </rPh>
    <rPh sb="2" eb="4">
      <t>キコウ</t>
    </rPh>
    <phoneticPr fontId="1"/>
  </si>
  <si>
    <t>㈱予州興業</t>
    <rPh sb="1" eb="2">
      <t>ヨ</t>
    </rPh>
    <rPh sb="2" eb="3">
      <t>シュウ</t>
    </rPh>
    <rPh sb="3" eb="5">
      <t>コウギョウ</t>
    </rPh>
    <phoneticPr fontId="1"/>
  </si>
  <si>
    <t>石川製紙</t>
    <rPh sb="0" eb="2">
      <t>イシカワ</t>
    </rPh>
    <rPh sb="2" eb="4">
      <t>セイシ</t>
    </rPh>
    <phoneticPr fontId="1"/>
  </si>
  <si>
    <t>おべ工業</t>
    <rPh sb="2" eb="4">
      <t>コウギョウ</t>
    </rPh>
    <phoneticPr fontId="1"/>
  </si>
  <si>
    <t>大西紙工</t>
    <rPh sb="0" eb="2">
      <t>オオニシ</t>
    </rPh>
    <rPh sb="2" eb="4">
      <t>シコウ</t>
    </rPh>
    <phoneticPr fontId="1"/>
  </si>
  <si>
    <t>住友金属鉱山</t>
    <rPh sb="0" eb="2">
      <t>スミトモ</t>
    </rPh>
    <rPh sb="2" eb="4">
      <t>キンゾク</t>
    </rPh>
    <rPh sb="4" eb="6">
      <t>コウザン</t>
    </rPh>
    <phoneticPr fontId="1"/>
  </si>
  <si>
    <t>小椋電設</t>
    <rPh sb="0" eb="2">
      <t>オグラ</t>
    </rPh>
    <rPh sb="2" eb="4">
      <t>デンセツ</t>
    </rPh>
    <phoneticPr fontId="1"/>
  </si>
  <si>
    <t>兵庫製紙</t>
    <rPh sb="0" eb="2">
      <t>ヒョウゴ</t>
    </rPh>
    <rPh sb="2" eb="4">
      <t>セイシ</t>
    </rPh>
    <phoneticPr fontId="1"/>
  </si>
  <si>
    <t>岡田電機</t>
    <rPh sb="0" eb="2">
      <t>オカダ</t>
    </rPh>
    <rPh sb="2" eb="4">
      <t>デンキ</t>
    </rPh>
    <phoneticPr fontId="1"/>
  </si>
  <si>
    <t>(有)ｴｽｹｰ工業</t>
    <rPh sb="0" eb="3">
      <t>ユウ</t>
    </rPh>
    <rPh sb="7" eb="9">
      <t>コウギョウ</t>
    </rPh>
    <phoneticPr fontId="1"/>
  </si>
  <si>
    <t>㈱神野工務店</t>
    <rPh sb="1" eb="3">
      <t>ジンノ</t>
    </rPh>
    <rPh sb="3" eb="5">
      <t>コウム</t>
    </rPh>
    <rPh sb="5" eb="6">
      <t>テン</t>
    </rPh>
    <phoneticPr fontId="1"/>
  </si>
  <si>
    <t>ｺﾓﾀﾞ商会</t>
    <rPh sb="4" eb="6">
      <t>ショウカイ</t>
    </rPh>
    <phoneticPr fontId="1"/>
  </si>
  <si>
    <t>光和電機</t>
    <rPh sb="0" eb="2">
      <t>コウワ</t>
    </rPh>
    <rPh sb="2" eb="4">
      <t>デンキ</t>
    </rPh>
    <phoneticPr fontId="1"/>
  </si>
  <si>
    <t>合田汽船㈱</t>
    <rPh sb="0" eb="2">
      <t>ゴウダ</t>
    </rPh>
    <rPh sb="2" eb="4">
      <t>キセン</t>
    </rPh>
    <phoneticPr fontId="1"/>
  </si>
  <si>
    <t>ｺｰﾜ網桁受川工場</t>
    <rPh sb="3" eb="4">
      <t>アミ</t>
    </rPh>
    <rPh sb="4" eb="5">
      <t>ケタ</t>
    </rPh>
    <rPh sb="5" eb="7">
      <t>ウケガワ</t>
    </rPh>
    <rPh sb="7" eb="9">
      <t>コウジョウ</t>
    </rPh>
    <phoneticPr fontId="1"/>
  </si>
  <si>
    <t>㈱晃愛製作所</t>
    <rPh sb="1" eb="2">
      <t>コウ</t>
    </rPh>
    <rPh sb="2" eb="3">
      <t>アイ</t>
    </rPh>
    <rPh sb="3" eb="6">
      <t>セイサクショ</t>
    </rPh>
    <phoneticPr fontId="1"/>
  </si>
  <si>
    <t>㈱星場電機設備</t>
    <rPh sb="1" eb="3">
      <t>ホシバ</t>
    </rPh>
    <rPh sb="3" eb="5">
      <t>デンキ</t>
    </rPh>
    <rPh sb="5" eb="7">
      <t>セツビ</t>
    </rPh>
    <phoneticPr fontId="1"/>
  </si>
  <si>
    <t>寒川製紙</t>
    <rPh sb="0" eb="2">
      <t>サンガワ</t>
    </rPh>
    <rPh sb="2" eb="4">
      <t>セイシ</t>
    </rPh>
    <phoneticPr fontId="1"/>
  </si>
  <si>
    <t>㈱坂上鉄工所</t>
    <rPh sb="1" eb="3">
      <t>サカガミ</t>
    </rPh>
    <rPh sb="3" eb="6">
      <t>テッコウショ</t>
    </rPh>
    <phoneticPr fontId="1"/>
  </si>
  <si>
    <t>寒川髙井電機</t>
    <rPh sb="0" eb="2">
      <t>サンガワ</t>
    </rPh>
    <rPh sb="2" eb="4">
      <t>タカイ</t>
    </rPh>
    <rPh sb="4" eb="6">
      <t>デンキ</t>
    </rPh>
    <phoneticPr fontId="1"/>
  </si>
  <si>
    <t>ｽﾘｰﾗｲｸ　三好機械</t>
    <rPh sb="7" eb="9">
      <t>ミヨシ</t>
    </rPh>
    <rPh sb="9" eb="11">
      <t>キカイ</t>
    </rPh>
    <phoneticPr fontId="1"/>
  </si>
  <si>
    <t>寒川漁業協同組合</t>
    <rPh sb="0" eb="2">
      <t>サンガワ</t>
    </rPh>
    <rPh sb="2" eb="4">
      <t>ギョギョウ</t>
    </rPh>
    <rPh sb="4" eb="6">
      <t>キョウドウ</t>
    </rPh>
    <rPh sb="6" eb="8">
      <t>クミアイ</t>
    </rPh>
    <phoneticPr fontId="1"/>
  </si>
  <si>
    <t>ｴﾘｴｰﾙ運輸㈱</t>
    <rPh sb="5" eb="7">
      <t>ウンユ</t>
    </rPh>
    <phoneticPr fontId="1"/>
  </si>
  <si>
    <t>四国製鋼</t>
    <rPh sb="0" eb="2">
      <t>シコク</t>
    </rPh>
    <rPh sb="2" eb="3">
      <t>セイ</t>
    </rPh>
    <rPh sb="3" eb="4">
      <t>コウ</t>
    </rPh>
    <phoneticPr fontId="1"/>
  </si>
  <si>
    <t>新興電機</t>
    <rPh sb="0" eb="2">
      <t>シンコウ</t>
    </rPh>
    <rPh sb="2" eb="4">
      <t>デンキ</t>
    </rPh>
    <phoneticPr fontId="1"/>
  </si>
  <si>
    <t>秦泉寺機工</t>
    <rPh sb="0" eb="3">
      <t>ジンセンジ</t>
    </rPh>
    <rPh sb="3" eb="5">
      <t>キコウ</t>
    </rPh>
    <phoneticPr fontId="1"/>
  </si>
  <si>
    <t>鈴木工作所</t>
    <rPh sb="0" eb="2">
      <t>スズキ</t>
    </rPh>
    <rPh sb="2" eb="5">
      <t>コウサクショ</t>
    </rPh>
    <phoneticPr fontId="1"/>
  </si>
  <si>
    <t>鈴木ﾎﾟﾘ加工所</t>
    <rPh sb="0" eb="2">
      <t>スズキ</t>
    </rPh>
    <rPh sb="5" eb="7">
      <t>カコウ</t>
    </rPh>
    <rPh sb="7" eb="8">
      <t>ショ</t>
    </rPh>
    <phoneticPr fontId="1"/>
  </si>
  <si>
    <t>瀬戸内機械工業所</t>
    <rPh sb="0" eb="3">
      <t>セトウチ</t>
    </rPh>
    <rPh sb="3" eb="5">
      <t>キカイ</t>
    </rPh>
    <rPh sb="5" eb="7">
      <t>コウギョウ</t>
    </rPh>
    <rPh sb="7" eb="8">
      <t>ショ</t>
    </rPh>
    <phoneticPr fontId="1"/>
  </si>
  <si>
    <t>瀬戸内溶接㈱</t>
    <rPh sb="0" eb="3">
      <t>セトウチ</t>
    </rPh>
    <rPh sb="3" eb="5">
      <t>ヨウセツ</t>
    </rPh>
    <phoneticPr fontId="1"/>
  </si>
  <si>
    <t>有限会社　丸山</t>
    <rPh sb="0" eb="4">
      <t>ユウゲンカイシャ</t>
    </rPh>
    <rPh sb="5" eb="7">
      <t>マルヤマ</t>
    </rPh>
    <phoneticPr fontId="1"/>
  </si>
  <si>
    <t>大東</t>
    <rPh sb="0" eb="2">
      <t>ダイトウ</t>
    </rPh>
    <phoneticPr fontId="1"/>
  </si>
  <si>
    <t>㈱ｱｲｴﾑ工機</t>
    <rPh sb="5" eb="7">
      <t>コウキ</t>
    </rPh>
    <phoneticPr fontId="1"/>
  </si>
  <si>
    <t>高下工業</t>
    <rPh sb="0" eb="2">
      <t>タカシタ</t>
    </rPh>
    <rPh sb="2" eb="4">
      <t>コウギョウ</t>
    </rPh>
    <phoneticPr fontId="1"/>
  </si>
  <si>
    <t>高橋車輛株式会社</t>
    <rPh sb="0" eb="2">
      <t>タカハシ</t>
    </rPh>
    <rPh sb="2" eb="4">
      <t>シャリョウ</t>
    </rPh>
    <rPh sb="4" eb="8">
      <t>カブシキガイシャ</t>
    </rPh>
    <phoneticPr fontId="1"/>
  </si>
  <si>
    <t>㈱大栄ﾊﾟﾙﾌﾟ作業</t>
    <rPh sb="1" eb="3">
      <t>ダイエイ</t>
    </rPh>
    <rPh sb="8" eb="10">
      <t>サギョウ</t>
    </rPh>
    <phoneticPr fontId="1"/>
  </si>
  <si>
    <t>ﾀｲｶﾜ運輸</t>
    <rPh sb="4" eb="6">
      <t>ウンユ</t>
    </rPh>
    <phoneticPr fontId="1"/>
  </si>
  <si>
    <t>高橋木材</t>
    <rPh sb="0" eb="2">
      <t>タカハシ</t>
    </rPh>
    <rPh sb="2" eb="4">
      <t>モクザイ</t>
    </rPh>
    <phoneticPr fontId="1"/>
  </si>
  <si>
    <t>ｵｰｴﾑ機械産業</t>
    <rPh sb="4" eb="6">
      <t>キカイ</t>
    </rPh>
    <rPh sb="6" eb="8">
      <t>サンギョウ</t>
    </rPh>
    <phoneticPr fontId="1"/>
  </si>
  <si>
    <t>瀧本鉄工建設</t>
    <rPh sb="0" eb="2">
      <t>タキモト</t>
    </rPh>
    <rPh sb="2" eb="4">
      <t>テッコウ</t>
    </rPh>
    <rPh sb="4" eb="6">
      <t>ケンセツ</t>
    </rPh>
    <phoneticPr fontId="1"/>
  </si>
  <si>
    <t>大八工業㈱</t>
    <rPh sb="0" eb="1">
      <t>オオ</t>
    </rPh>
    <rPh sb="1" eb="2">
      <t>ハチ</t>
    </rPh>
    <rPh sb="2" eb="4">
      <t>コウギョウ</t>
    </rPh>
    <phoneticPr fontId="1"/>
  </si>
  <si>
    <t>㈱徳永産業</t>
    <rPh sb="1" eb="3">
      <t>トクナガ</t>
    </rPh>
    <rPh sb="3" eb="5">
      <t>サンギョウ</t>
    </rPh>
    <phoneticPr fontId="1"/>
  </si>
  <si>
    <t>大王海運物流</t>
    <rPh sb="0" eb="2">
      <t>ダイオウ</t>
    </rPh>
    <rPh sb="2" eb="4">
      <t>カイウン</t>
    </rPh>
    <rPh sb="4" eb="6">
      <t>ブツリュウ</t>
    </rPh>
    <phoneticPr fontId="1"/>
  </si>
  <si>
    <t>美須賀海運㈱</t>
    <rPh sb="0" eb="1">
      <t>ミ</t>
    </rPh>
    <rPh sb="1" eb="2">
      <t>ス</t>
    </rPh>
    <rPh sb="2" eb="3">
      <t>ガ</t>
    </rPh>
    <rPh sb="3" eb="5">
      <t>カイウン</t>
    </rPh>
    <phoneticPr fontId="1"/>
  </si>
  <si>
    <t>(有)中央重機</t>
    <rPh sb="0" eb="3">
      <t>ユウ</t>
    </rPh>
    <rPh sb="3" eb="5">
      <t>チュウオウ</t>
    </rPh>
    <rPh sb="5" eb="7">
      <t>ジュウキ</t>
    </rPh>
    <phoneticPr fontId="1"/>
  </si>
  <si>
    <t>堤工作所</t>
    <rPh sb="0" eb="1">
      <t>ツツミ</t>
    </rPh>
    <rPh sb="1" eb="4">
      <t>コウサクショ</t>
    </rPh>
    <phoneticPr fontId="1"/>
  </si>
  <si>
    <t>堤鉄工所</t>
    <rPh sb="0" eb="1">
      <t>ツツミ</t>
    </rPh>
    <rPh sb="1" eb="4">
      <t>テッコウショ</t>
    </rPh>
    <phoneticPr fontId="1"/>
  </si>
  <si>
    <t>寺尾鉄工所</t>
    <rPh sb="0" eb="2">
      <t>テラオ</t>
    </rPh>
    <rPh sb="2" eb="4">
      <t>テッコウ</t>
    </rPh>
    <rPh sb="4" eb="5">
      <t>ショ</t>
    </rPh>
    <phoneticPr fontId="1"/>
  </si>
  <si>
    <t>(有)天玉電設</t>
    <rPh sb="1" eb="2">
      <t>アリ</t>
    </rPh>
    <rPh sb="3" eb="4">
      <t>テン</t>
    </rPh>
    <rPh sb="4" eb="5">
      <t>タマ</t>
    </rPh>
    <rPh sb="5" eb="7">
      <t>デンセツ</t>
    </rPh>
    <phoneticPr fontId="1"/>
  </si>
  <si>
    <t>東予技研㈱</t>
    <rPh sb="0" eb="2">
      <t>トウヨ</t>
    </rPh>
    <rPh sb="2" eb="4">
      <t>ギケン</t>
    </rPh>
    <phoneticPr fontId="1"/>
  </si>
  <si>
    <t>(有)戸田鉄工所</t>
    <rPh sb="0" eb="3">
      <t>ユウ</t>
    </rPh>
    <rPh sb="3" eb="5">
      <t>トダ</t>
    </rPh>
    <rPh sb="5" eb="8">
      <t>テッコウショ</t>
    </rPh>
    <phoneticPr fontId="1"/>
  </si>
  <si>
    <t>豊田紙工所</t>
    <rPh sb="0" eb="2">
      <t>トヨダ</t>
    </rPh>
    <rPh sb="2" eb="4">
      <t>シコウ</t>
    </rPh>
    <rPh sb="4" eb="5">
      <t>ショ</t>
    </rPh>
    <phoneticPr fontId="1"/>
  </si>
  <si>
    <t>十川製紙</t>
    <rPh sb="0" eb="2">
      <t>トガワ</t>
    </rPh>
    <rPh sb="2" eb="4">
      <t>セイシ</t>
    </rPh>
    <phoneticPr fontId="1"/>
  </si>
  <si>
    <t>東予ｳｫｰﾀｰﾒﾝﾃ</t>
    <rPh sb="0" eb="2">
      <t>トウヨ</t>
    </rPh>
    <phoneticPr fontId="1"/>
  </si>
  <si>
    <t>柴川鉄工所</t>
    <rPh sb="0" eb="2">
      <t>シバカワ</t>
    </rPh>
    <rPh sb="2" eb="5">
      <t>テッコウショ</t>
    </rPh>
    <phoneticPr fontId="1"/>
  </si>
  <si>
    <t>銅山川水道企業団</t>
    <rPh sb="0" eb="2">
      <t>ドウザン</t>
    </rPh>
    <rPh sb="2" eb="3">
      <t>カワ</t>
    </rPh>
    <rPh sb="3" eb="5">
      <t>スイドウ</t>
    </rPh>
    <rPh sb="5" eb="7">
      <t>キギョウ</t>
    </rPh>
    <rPh sb="7" eb="8">
      <t>ダン</t>
    </rPh>
    <phoneticPr fontId="1"/>
  </si>
  <si>
    <t>長優製紙</t>
    <rPh sb="0" eb="1">
      <t>ナガ</t>
    </rPh>
    <rPh sb="1" eb="2">
      <t>ユウ</t>
    </rPh>
    <rPh sb="2" eb="4">
      <t>セイシ</t>
    </rPh>
    <phoneticPr fontId="1"/>
  </si>
  <si>
    <t>中西電気商会</t>
    <rPh sb="0" eb="2">
      <t>ナカニシ</t>
    </rPh>
    <rPh sb="2" eb="4">
      <t>デンキ</t>
    </rPh>
    <rPh sb="4" eb="6">
      <t>ショウカイ</t>
    </rPh>
    <phoneticPr fontId="1"/>
  </si>
  <si>
    <t>仁野鉄工</t>
    <rPh sb="0" eb="2">
      <t>ニノ</t>
    </rPh>
    <rPh sb="2" eb="4">
      <t>テッコウ</t>
    </rPh>
    <phoneticPr fontId="1"/>
  </si>
  <si>
    <t>日本通運重機</t>
    <rPh sb="0" eb="2">
      <t>ニホン</t>
    </rPh>
    <rPh sb="2" eb="4">
      <t>ツウウン</t>
    </rPh>
    <rPh sb="4" eb="6">
      <t>ジュウキ</t>
    </rPh>
    <phoneticPr fontId="1"/>
  </si>
  <si>
    <t>日本興運</t>
    <rPh sb="0" eb="2">
      <t>ニホン</t>
    </rPh>
    <rPh sb="2" eb="3">
      <t>コウ</t>
    </rPh>
    <rPh sb="3" eb="4">
      <t>ウン</t>
    </rPh>
    <phoneticPr fontId="1"/>
  </si>
  <si>
    <t>せお商事</t>
    <rPh sb="2" eb="4">
      <t>ショウジ</t>
    </rPh>
    <phoneticPr fontId="1"/>
  </si>
  <si>
    <t>服部製紙</t>
    <rPh sb="0" eb="2">
      <t>ハットリ</t>
    </rPh>
    <rPh sb="2" eb="4">
      <t>セイシ</t>
    </rPh>
    <phoneticPr fontId="1"/>
  </si>
  <si>
    <t>浜田工業</t>
    <rPh sb="0" eb="2">
      <t>ハマダ</t>
    </rPh>
    <rPh sb="2" eb="4">
      <t>コウギョウ</t>
    </rPh>
    <phoneticPr fontId="1"/>
  </si>
  <si>
    <t>伯東㈱</t>
    <rPh sb="0" eb="2">
      <t>ハクトウ</t>
    </rPh>
    <phoneticPr fontId="1"/>
  </si>
  <si>
    <t>ﾊﾘﾏ化成</t>
    <rPh sb="3" eb="5">
      <t>カセイ</t>
    </rPh>
    <phoneticPr fontId="1"/>
  </si>
  <si>
    <t>山本ｽﾃﾝﾚｽ</t>
    <rPh sb="0" eb="2">
      <t>ヤマモト</t>
    </rPh>
    <phoneticPr fontId="1"/>
  </si>
  <si>
    <t>光鉄工所</t>
    <rPh sb="0" eb="1">
      <t>ヒカリ</t>
    </rPh>
    <rPh sb="1" eb="3">
      <t>テッコウ</t>
    </rPh>
    <rPh sb="3" eb="4">
      <t>ショ</t>
    </rPh>
    <phoneticPr fontId="1"/>
  </si>
  <si>
    <t>かがやき総合保険</t>
    <rPh sb="4" eb="6">
      <t>ソウゴウ</t>
    </rPh>
    <rPh sb="6" eb="8">
      <t>ホケン</t>
    </rPh>
    <phoneticPr fontId="1"/>
  </si>
  <si>
    <t>高知ｽﾁﾛｰﾙ</t>
    <rPh sb="0" eb="2">
      <t>コウチ</t>
    </rPh>
    <phoneticPr fontId="1"/>
  </si>
  <si>
    <t>星高製紙</t>
    <rPh sb="0" eb="1">
      <t>ホシ</t>
    </rPh>
    <rPh sb="1" eb="2">
      <t>タカ</t>
    </rPh>
    <rPh sb="2" eb="4">
      <t>セイシ</t>
    </rPh>
    <phoneticPr fontId="1"/>
  </si>
  <si>
    <t>DRA技術研究所</t>
    <rPh sb="3" eb="5">
      <t>ギジュツ</t>
    </rPh>
    <rPh sb="5" eb="8">
      <t>ケンキュウショ</t>
    </rPh>
    <phoneticPr fontId="1"/>
  </si>
  <si>
    <t>三木特種製紙　中国向</t>
    <rPh sb="0" eb="4">
      <t>ミキトクシュ</t>
    </rPh>
    <rPh sb="4" eb="6">
      <t>セイシ</t>
    </rPh>
    <rPh sb="7" eb="9">
      <t>チュウゴク</t>
    </rPh>
    <rPh sb="9" eb="10">
      <t>ムケ</t>
    </rPh>
    <phoneticPr fontId="1"/>
  </si>
  <si>
    <t>㈱麺棒</t>
    <rPh sb="1" eb="3">
      <t>メンボウ</t>
    </rPh>
    <phoneticPr fontId="1"/>
  </si>
  <si>
    <t>松岡工業</t>
    <rPh sb="0" eb="2">
      <t>マツオカ</t>
    </rPh>
    <rPh sb="2" eb="4">
      <t>コウギョウ</t>
    </rPh>
    <phoneticPr fontId="1"/>
  </si>
  <si>
    <t>㈱丸和石油</t>
    <rPh sb="1" eb="3">
      <t>マルワ</t>
    </rPh>
    <rPh sb="3" eb="5">
      <t>セキユ</t>
    </rPh>
    <phoneticPr fontId="1"/>
  </si>
  <si>
    <t>㈱丸和</t>
    <rPh sb="1" eb="3">
      <t>マルワ</t>
    </rPh>
    <phoneticPr fontId="1"/>
  </si>
  <si>
    <t>前谷電気工業所</t>
    <rPh sb="0" eb="2">
      <t>マエタニ</t>
    </rPh>
    <rPh sb="2" eb="4">
      <t>デンキ</t>
    </rPh>
    <rPh sb="4" eb="6">
      <t>コウギョウ</t>
    </rPh>
    <rPh sb="6" eb="7">
      <t>ショ</t>
    </rPh>
    <phoneticPr fontId="1"/>
  </si>
  <si>
    <t>前谷電設</t>
    <rPh sb="0" eb="2">
      <t>マエタニ</t>
    </rPh>
    <rPh sb="2" eb="4">
      <t>デンセツ</t>
    </rPh>
    <phoneticPr fontId="1"/>
  </si>
  <si>
    <t>久保土建</t>
    <rPh sb="0" eb="2">
      <t>クボ</t>
    </rPh>
    <rPh sb="2" eb="4">
      <t>ドケン</t>
    </rPh>
    <phoneticPr fontId="1"/>
  </si>
  <si>
    <t>丸五製紙</t>
    <rPh sb="0" eb="1">
      <t>マル</t>
    </rPh>
    <rPh sb="1" eb="2">
      <t>ゴ</t>
    </rPh>
    <rPh sb="2" eb="4">
      <t>セイシ</t>
    </rPh>
    <phoneticPr fontId="1"/>
  </si>
  <si>
    <t>三木特種製紙</t>
    <rPh sb="0" eb="6">
      <t>ミキトクシュセイシ</t>
    </rPh>
    <phoneticPr fontId="1"/>
  </si>
  <si>
    <t>三島工業</t>
    <rPh sb="0" eb="2">
      <t>ミシマ</t>
    </rPh>
    <rPh sb="2" eb="4">
      <t>コウギョウ</t>
    </rPh>
    <phoneticPr fontId="1"/>
  </si>
  <si>
    <t>三島鍍金工業所</t>
    <rPh sb="0" eb="2">
      <t>ミシマ</t>
    </rPh>
    <rPh sb="2" eb="3">
      <t>ト</t>
    </rPh>
    <rPh sb="3" eb="4">
      <t>キン</t>
    </rPh>
    <rPh sb="4" eb="6">
      <t>コウギョウ</t>
    </rPh>
    <rPh sb="6" eb="7">
      <t>ショ</t>
    </rPh>
    <phoneticPr fontId="1"/>
  </si>
  <si>
    <t>宮崎組</t>
    <rPh sb="0" eb="3">
      <t>ミヤザキグミ</t>
    </rPh>
    <phoneticPr fontId="1"/>
  </si>
  <si>
    <t>宮崎水産加工</t>
    <rPh sb="0" eb="2">
      <t>ミヤザキ</t>
    </rPh>
    <rPh sb="2" eb="4">
      <t>スイサン</t>
    </rPh>
    <rPh sb="4" eb="6">
      <t>カコウ</t>
    </rPh>
    <phoneticPr fontId="1"/>
  </si>
  <si>
    <t>三島漁業協同組合</t>
    <rPh sb="0" eb="2">
      <t>ミシマ</t>
    </rPh>
    <rPh sb="2" eb="4">
      <t>ギョギョウ</t>
    </rPh>
    <rPh sb="4" eb="6">
      <t>キョウドウ</t>
    </rPh>
    <rPh sb="6" eb="8">
      <t>クミアイ</t>
    </rPh>
    <phoneticPr fontId="1"/>
  </si>
  <si>
    <t>三宅石油</t>
    <rPh sb="0" eb="2">
      <t>ミヤケ</t>
    </rPh>
    <rPh sb="2" eb="4">
      <t>セキユ</t>
    </rPh>
    <phoneticPr fontId="1"/>
  </si>
  <si>
    <t>みすまる産業</t>
    <rPh sb="4" eb="6">
      <t>サンギョウ</t>
    </rPh>
    <phoneticPr fontId="1"/>
  </si>
  <si>
    <t>村上工業所</t>
    <rPh sb="0" eb="2">
      <t>ムラカミ</t>
    </rPh>
    <rPh sb="2" eb="5">
      <t>コウギョウショ</t>
    </rPh>
    <phoneticPr fontId="1"/>
  </si>
  <si>
    <t>うま産業協同組合</t>
    <rPh sb="2" eb="4">
      <t>サンギョウ</t>
    </rPh>
    <rPh sb="4" eb="6">
      <t>キョウドウ</t>
    </rPh>
    <rPh sb="6" eb="8">
      <t>クミアイ</t>
    </rPh>
    <phoneticPr fontId="1"/>
  </si>
  <si>
    <t>守屋工業</t>
    <rPh sb="0" eb="2">
      <t>モリヤ</t>
    </rPh>
    <rPh sb="2" eb="4">
      <t>コウギョウ</t>
    </rPh>
    <phoneticPr fontId="1"/>
  </si>
  <si>
    <t>宗続加工所</t>
    <rPh sb="0" eb="1">
      <t>シュウ</t>
    </rPh>
    <rPh sb="1" eb="2">
      <t>ゾク</t>
    </rPh>
    <rPh sb="2" eb="4">
      <t>カコウ</t>
    </rPh>
    <rPh sb="4" eb="5">
      <t>ショ</t>
    </rPh>
    <phoneticPr fontId="1"/>
  </si>
  <si>
    <t>森井ｷﾅｺ</t>
    <rPh sb="0" eb="2">
      <t>モリイ</t>
    </rPh>
    <phoneticPr fontId="1"/>
  </si>
  <si>
    <t>山石電気商会</t>
    <rPh sb="0" eb="2">
      <t>ヤマイシ</t>
    </rPh>
    <rPh sb="2" eb="4">
      <t>デンキ</t>
    </rPh>
    <rPh sb="4" eb="6">
      <t>ショウカイ</t>
    </rPh>
    <phoneticPr fontId="1"/>
  </si>
  <si>
    <t>やまと印刷</t>
    <rPh sb="3" eb="5">
      <t>インサツ</t>
    </rPh>
    <phoneticPr fontId="1"/>
  </si>
  <si>
    <t>大野製作所</t>
    <rPh sb="0" eb="2">
      <t>オオノ</t>
    </rPh>
    <rPh sb="2" eb="5">
      <t>セイサクショ</t>
    </rPh>
    <phoneticPr fontId="1"/>
  </si>
  <si>
    <t>井川ﾃﾝﾄ商会</t>
    <rPh sb="0" eb="2">
      <t>イカワ</t>
    </rPh>
    <rPh sb="5" eb="7">
      <t>ショウカイ</t>
    </rPh>
    <phoneticPr fontId="1"/>
  </si>
  <si>
    <t>常裕ﾊﾟﾙﾌﾟ</t>
    <rPh sb="0" eb="1">
      <t>ジョウ</t>
    </rPh>
    <rPh sb="1" eb="2">
      <t>ユウ</t>
    </rPh>
    <phoneticPr fontId="1"/>
  </si>
  <si>
    <t>三田工業</t>
    <rPh sb="0" eb="2">
      <t>ミタ</t>
    </rPh>
    <rPh sb="2" eb="4">
      <t>コウギョウ</t>
    </rPh>
    <phoneticPr fontId="1"/>
  </si>
  <si>
    <t>KI商会</t>
    <rPh sb="2" eb="4">
      <t>ショウカイ</t>
    </rPh>
    <phoneticPr fontId="1"/>
  </si>
  <si>
    <t>大月工務店</t>
    <rPh sb="0" eb="2">
      <t>オオツキ</t>
    </rPh>
    <rPh sb="2" eb="5">
      <t>コウムテン</t>
    </rPh>
    <phoneticPr fontId="1"/>
  </si>
  <si>
    <t>井原工業</t>
    <rPh sb="0" eb="2">
      <t>イハラ</t>
    </rPh>
    <rPh sb="2" eb="4">
      <t>コウギョウ</t>
    </rPh>
    <phoneticPr fontId="1"/>
  </si>
  <si>
    <t>石津工業</t>
    <rPh sb="0" eb="2">
      <t>イシズ</t>
    </rPh>
    <rPh sb="2" eb="4">
      <t>コウギョウ</t>
    </rPh>
    <phoneticPr fontId="1"/>
  </si>
  <si>
    <t>石川水道工事店</t>
    <rPh sb="0" eb="2">
      <t>イシカワ</t>
    </rPh>
    <rPh sb="2" eb="4">
      <t>スイドウ</t>
    </rPh>
    <rPh sb="4" eb="6">
      <t>コウジ</t>
    </rPh>
    <rPh sb="6" eb="7">
      <t>テン</t>
    </rPh>
    <phoneticPr fontId="1"/>
  </si>
  <si>
    <t>石川水道工業所</t>
    <rPh sb="0" eb="2">
      <t>イシカワ</t>
    </rPh>
    <rPh sb="2" eb="4">
      <t>スイドウ</t>
    </rPh>
    <rPh sb="4" eb="6">
      <t>コウギョウ</t>
    </rPh>
    <rPh sb="6" eb="7">
      <t>ショ</t>
    </rPh>
    <phoneticPr fontId="1"/>
  </si>
  <si>
    <t>石津設備</t>
    <rPh sb="0" eb="2">
      <t>イシズ</t>
    </rPh>
    <rPh sb="2" eb="4">
      <t>セツビ</t>
    </rPh>
    <phoneticPr fontId="1"/>
  </si>
  <si>
    <t>中国汽缶工業</t>
    <rPh sb="0" eb="2">
      <t>チュウゴク</t>
    </rPh>
    <rPh sb="2" eb="4">
      <t>キカン</t>
    </rPh>
    <rPh sb="4" eb="6">
      <t>コウギョウ</t>
    </rPh>
    <phoneticPr fontId="1"/>
  </si>
  <si>
    <t>宇摩ﾎﾞｳﾄﾘｰ</t>
    <rPh sb="0" eb="2">
      <t>ウマ</t>
    </rPh>
    <phoneticPr fontId="1"/>
  </si>
  <si>
    <t>大久保組</t>
    <rPh sb="0" eb="4">
      <t>オオクボグミ</t>
    </rPh>
    <phoneticPr fontId="1"/>
  </si>
  <si>
    <t>金生ﾌﾟﾛﾀﾞｸﾂ</t>
    <rPh sb="0" eb="2">
      <t>キンセイ</t>
    </rPh>
    <phoneticPr fontId="1"/>
  </si>
  <si>
    <t>三幸社</t>
    <rPh sb="0" eb="2">
      <t>サンコウ</t>
    </rPh>
    <rPh sb="2" eb="3">
      <t>シャ</t>
    </rPh>
    <phoneticPr fontId="1"/>
  </si>
  <si>
    <t>愛媛大東</t>
    <rPh sb="0" eb="2">
      <t>エヒメ</t>
    </rPh>
    <rPh sb="2" eb="4">
      <t>ダイトウ</t>
    </rPh>
    <phoneticPr fontId="1"/>
  </si>
  <si>
    <t>共和ﾋﾞﾆｰﾙ工業所</t>
    <rPh sb="0" eb="2">
      <t>キョウワ</t>
    </rPh>
    <rPh sb="7" eb="10">
      <t>コウギョウショ</t>
    </rPh>
    <phoneticPr fontId="1"/>
  </si>
  <si>
    <t>三井住友ﾌｧｲﾅﾝｽ＆ﾘｰｽ</t>
    <rPh sb="0" eb="2">
      <t>ミツイ</t>
    </rPh>
    <rPh sb="2" eb="4">
      <t>スミトモ</t>
    </rPh>
    <phoneticPr fontId="1"/>
  </si>
  <si>
    <t>菰田組</t>
    <rPh sb="0" eb="2">
      <t>コモダ</t>
    </rPh>
    <rPh sb="2" eb="3">
      <t>クミ</t>
    </rPh>
    <phoneticPr fontId="1"/>
  </si>
  <si>
    <t>広栄建設</t>
    <rPh sb="0" eb="2">
      <t>コウエイ</t>
    </rPh>
    <rPh sb="2" eb="4">
      <t>ケンセツ</t>
    </rPh>
    <phoneticPr fontId="1"/>
  </si>
  <si>
    <t>合田工業</t>
    <rPh sb="0" eb="2">
      <t>ゴウダ</t>
    </rPh>
    <rPh sb="2" eb="4">
      <t>コウギョウ</t>
    </rPh>
    <phoneticPr fontId="1"/>
  </si>
  <si>
    <t>日栄修機</t>
    <rPh sb="0" eb="2">
      <t>ニチエイ</t>
    </rPh>
    <rPh sb="2" eb="3">
      <t>シュウ</t>
    </rPh>
    <rPh sb="3" eb="4">
      <t>キ</t>
    </rPh>
    <phoneticPr fontId="1"/>
  </si>
  <si>
    <t>三星道路</t>
    <rPh sb="0" eb="2">
      <t>サンセイ</t>
    </rPh>
    <rPh sb="2" eb="4">
      <t>ドウロ</t>
    </rPh>
    <phoneticPr fontId="1"/>
  </si>
  <si>
    <t>秦泉寺組</t>
    <rPh sb="0" eb="3">
      <t>ジンゼンジ</t>
    </rPh>
    <rPh sb="3" eb="4">
      <t>グミ</t>
    </rPh>
    <phoneticPr fontId="1"/>
  </si>
  <si>
    <t>篠永鑿泉工業</t>
    <rPh sb="0" eb="2">
      <t>シノナガ</t>
    </rPh>
    <rPh sb="2" eb="4">
      <t>サクセン</t>
    </rPh>
    <rPh sb="4" eb="6">
      <t>コウギョウ</t>
    </rPh>
    <phoneticPr fontId="1"/>
  </si>
  <si>
    <t>双葉製作所</t>
    <rPh sb="0" eb="2">
      <t>フタバ</t>
    </rPh>
    <rPh sb="2" eb="5">
      <t>セイサクショ</t>
    </rPh>
    <phoneticPr fontId="1"/>
  </si>
  <si>
    <t>ﾆｯｼﾝ機械</t>
    <rPh sb="4" eb="6">
      <t>キカイ</t>
    </rPh>
    <phoneticPr fontId="1"/>
  </si>
  <si>
    <t>鈴木住宅設備</t>
    <rPh sb="0" eb="2">
      <t>スズキ</t>
    </rPh>
    <rPh sb="2" eb="4">
      <t>ジュウタク</t>
    </rPh>
    <rPh sb="4" eb="6">
      <t>セツビ</t>
    </rPh>
    <phoneticPr fontId="1"/>
  </si>
  <si>
    <t>瀬戸内組</t>
    <rPh sb="0" eb="3">
      <t>セトウチ</t>
    </rPh>
    <rPh sb="3" eb="4">
      <t>クミ</t>
    </rPh>
    <phoneticPr fontId="1"/>
  </si>
  <si>
    <t>幸誠巧業</t>
    <rPh sb="0" eb="2">
      <t>コウセイ</t>
    </rPh>
    <rPh sb="2" eb="3">
      <t>コウ</t>
    </rPh>
    <rPh sb="3" eb="4">
      <t>ギョウ</t>
    </rPh>
    <phoneticPr fontId="1"/>
  </si>
  <si>
    <t>飛鷹生ｺﾝｸﾘｰﾄ</t>
    <rPh sb="0" eb="2">
      <t>ヒダカ</t>
    </rPh>
    <rPh sb="2" eb="3">
      <t>ナマ</t>
    </rPh>
    <phoneticPr fontId="1"/>
  </si>
  <si>
    <t>飛鷹建設</t>
    <rPh sb="0" eb="2">
      <t>ヒダカ</t>
    </rPh>
    <rPh sb="2" eb="4">
      <t>ケンセツ</t>
    </rPh>
    <phoneticPr fontId="1"/>
  </si>
  <si>
    <t>東野設備</t>
    <rPh sb="0" eb="2">
      <t>ヒガシノ</t>
    </rPh>
    <rPh sb="2" eb="4">
      <t>セツビ</t>
    </rPh>
    <phoneticPr fontId="1"/>
  </si>
  <si>
    <t>藤川組</t>
    <rPh sb="0" eb="3">
      <t>フジカワグミ</t>
    </rPh>
    <phoneticPr fontId="1"/>
  </si>
  <si>
    <t>星川工務店</t>
    <rPh sb="0" eb="2">
      <t>ホシカワ</t>
    </rPh>
    <rPh sb="2" eb="5">
      <t>コウムテン</t>
    </rPh>
    <phoneticPr fontId="1"/>
  </si>
  <si>
    <t>三島日鉄</t>
    <rPh sb="0" eb="2">
      <t>ミシマ</t>
    </rPh>
    <rPh sb="2" eb="4">
      <t>ニッテツ</t>
    </rPh>
    <phoneticPr fontId="1"/>
  </si>
  <si>
    <t>三木水道工業所</t>
    <rPh sb="0" eb="2">
      <t>ミキ</t>
    </rPh>
    <rPh sb="2" eb="4">
      <t>スイドウ</t>
    </rPh>
    <rPh sb="4" eb="6">
      <t>コウギョウ</t>
    </rPh>
    <rPh sb="6" eb="7">
      <t>ショ</t>
    </rPh>
    <phoneticPr fontId="1"/>
  </si>
  <si>
    <t>宮崎水道工業所</t>
    <rPh sb="0" eb="2">
      <t>ミヤザキ</t>
    </rPh>
    <rPh sb="2" eb="4">
      <t>スイドウ</t>
    </rPh>
    <rPh sb="4" eb="6">
      <t>コウギョウ</t>
    </rPh>
    <rPh sb="6" eb="7">
      <t>ショ</t>
    </rPh>
    <phoneticPr fontId="1"/>
  </si>
  <si>
    <t>三島水道工業</t>
    <rPh sb="0" eb="2">
      <t>ミシマ</t>
    </rPh>
    <rPh sb="2" eb="4">
      <t>スイドウ</t>
    </rPh>
    <rPh sb="4" eb="6">
      <t>コウギョウ</t>
    </rPh>
    <phoneticPr fontId="1"/>
  </si>
  <si>
    <t>伸巧</t>
    <rPh sb="0" eb="1">
      <t>シン</t>
    </rPh>
    <rPh sb="1" eb="2">
      <t>タク</t>
    </rPh>
    <phoneticPr fontId="1"/>
  </si>
  <si>
    <t>村上水道工業所</t>
    <rPh sb="0" eb="2">
      <t>ムラカミ</t>
    </rPh>
    <rPh sb="2" eb="4">
      <t>スイドウ</t>
    </rPh>
    <rPh sb="4" eb="6">
      <t>コウギョウ</t>
    </rPh>
    <rPh sb="6" eb="7">
      <t>ショ</t>
    </rPh>
    <phoneticPr fontId="1"/>
  </si>
  <si>
    <t>森川水道工業</t>
    <rPh sb="0" eb="2">
      <t>モリカワ</t>
    </rPh>
    <rPh sb="2" eb="4">
      <t>スイドウ</t>
    </rPh>
    <rPh sb="4" eb="6">
      <t>コウギョウ</t>
    </rPh>
    <phoneticPr fontId="1"/>
  </si>
  <si>
    <t>毛利電気</t>
    <rPh sb="0" eb="2">
      <t>モウリ</t>
    </rPh>
    <rPh sb="2" eb="4">
      <t>デンキ</t>
    </rPh>
    <phoneticPr fontId="1"/>
  </si>
  <si>
    <t>愛媛運輸</t>
    <rPh sb="0" eb="2">
      <t>エヒメ</t>
    </rPh>
    <rPh sb="2" eb="4">
      <t>ウンユ</t>
    </rPh>
    <phoneticPr fontId="1"/>
  </si>
  <si>
    <t>川之江造機</t>
    <rPh sb="0" eb="3">
      <t>カワノエ</t>
    </rPh>
    <rPh sb="3" eb="5">
      <t>ゾウキ</t>
    </rPh>
    <phoneticPr fontId="1"/>
  </si>
  <si>
    <t>三豊総合病院</t>
    <rPh sb="0" eb="2">
      <t>ミトヨ</t>
    </rPh>
    <rPh sb="2" eb="4">
      <t>ソウゴウ</t>
    </rPh>
    <rPh sb="4" eb="6">
      <t>ビョウイン</t>
    </rPh>
    <phoneticPr fontId="1"/>
  </si>
  <si>
    <t>ｱｲｼﾝ制御技術</t>
    <rPh sb="4" eb="6">
      <t>セイギョ</t>
    </rPh>
    <rPh sb="6" eb="8">
      <t>ギジュツ</t>
    </rPh>
    <phoneticPr fontId="1"/>
  </si>
  <si>
    <t>ﾌｼﾞｸﾞﾗﾝ野市</t>
    <rPh sb="7" eb="8">
      <t>ノ</t>
    </rPh>
    <rPh sb="8" eb="9">
      <t>シ</t>
    </rPh>
    <phoneticPr fontId="1"/>
  </si>
  <si>
    <t>鈴木電設</t>
    <rPh sb="0" eb="2">
      <t>スズキ</t>
    </rPh>
    <rPh sb="2" eb="4">
      <t>デンセツ</t>
    </rPh>
    <phoneticPr fontId="1"/>
  </si>
  <si>
    <t>片山ﾅﾙｺ</t>
    <rPh sb="0" eb="2">
      <t>カタヤマ</t>
    </rPh>
    <phoneticPr fontId="1"/>
  </si>
  <si>
    <t>明紀ｴﾝｼﾞ</t>
    <rPh sb="0" eb="1">
      <t>メイ</t>
    </rPh>
    <rPh sb="1" eb="2">
      <t>キ</t>
    </rPh>
    <phoneticPr fontId="1"/>
  </si>
  <si>
    <t>愛媛ﾁﾞｰｾﾞﾙ</t>
    <rPh sb="0" eb="2">
      <t>エヒメ</t>
    </rPh>
    <phoneticPr fontId="1"/>
  </si>
  <si>
    <t>吉田自動車</t>
    <rPh sb="0" eb="2">
      <t>ヨシダ</t>
    </rPh>
    <rPh sb="2" eb="5">
      <t>ジドウシャ</t>
    </rPh>
    <phoneticPr fontId="1"/>
  </si>
  <si>
    <t>通建築設計工房</t>
    <rPh sb="0" eb="1">
      <t>ツウ</t>
    </rPh>
    <rPh sb="1" eb="3">
      <t>ケンチク</t>
    </rPh>
    <rPh sb="3" eb="5">
      <t>セッケイ</t>
    </rPh>
    <rPh sb="5" eb="7">
      <t>コウボウ</t>
    </rPh>
    <phoneticPr fontId="1"/>
  </si>
  <si>
    <t>永豊機械</t>
    <rPh sb="0" eb="1">
      <t>ナガ</t>
    </rPh>
    <rPh sb="1" eb="2">
      <t>トヨ</t>
    </rPh>
    <rPh sb="2" eb="4">
      <t>キカイ</t>
    </rPh>
    <phoneticPr fontId="1"/>
  </si>
  <si>
    <t>愛媛製紙</t>
    <rPh sb="0" eb="2">
      <t>エヒメ</t>
    </rPh>
    <rPh sb="2" eb="4">
      <t>セイシ</t>
    </rPh>
    <phoneticPr fontId="1"/>
  </si>
  <si>
    <t>大高製紙</t>
    <rPh sb="0" eb="2">
      <t>オオタカ</t>
    </rPh>
    <rPh sb="2" eb="4">
      <t>セイシ</t>
    </rPh>
    <phoneticPr fontId="1"/>
  </si>
  <si>
    <t>ｶﾐ商事本社工場</t>
    <rPh sb="2" eb="4">
      <t>ショウジ</t>
    </rPh>
    <rPh sb="4" eb="6">
      <t>ホンシャ</t>
    </rPh>
    <rPh sb="6" eb="8">
      <t>コウジョウ</t>
    </rPh>
    <phoneticPr fontId="1"/>
  </si>
  <si>
    <t>加地工業</t>
    <rPh sb="0" eb="2">
      <t>カジ</t>
    </rPh>
    <rPh sb="2" eb="4">
      <t>コウギョウ</t>
    </rPh>
    <phoneticPr fontId="1"/>
  </si>
  <si>
    <t>市川物産</t>
    <rPh sb="0" eb="2">
      <t>イチカワ</t>
    </rPh>
    <rPh sb="2" eb="4">
      <t>ブッサン</t>
    </rPh>
    <phoneticPr fontId="1"/>
  </si>
  <si>
    <t>ﾕﾆﾁｬｰﾑ国光</t>
    <rPh sb="6" eb="8">
      <t>クニミツ</t>
    </rPh>
    <phoneticPr fontId="1"/>
  </si>
  <si>
    <t>江口建設工業</t>
    <rPh sb="0" eb="2">
      <t>エグチ</t>
    </rPh>
    <rPh sb="2" eb="4">
      <t>ケンセツ</t>
    </rPh>
    <rPh sb="4" eb="6">
      <t>コウギョウ</t>
    </rPh>
    <phoneticPr fontId="1"/>
  </si>
  <si>
    <t>近藤興業</t>
    <rPh sb="0" eb="2">
      <t>コンドウ</t>
    </rPh>
    <rPh sb="2" eb="4">
      <t>コウギョウ</t>
    </rPh>
    <phoneticPr fontId="1"/>
  </si>
  <si>
    <t>小薮鉄工所</t>
    <rPh sb="0" eb="1">
      <t>コ</t>
    </rPh>
    <rPh sb="1" eb="2">
      <t>ヤブ</t>
    </rPh>
    <rPh sb="2" eb="5">
      <t>テッコウショ</t>
    </rPh>
    <phoneticPr fontId="1"/>
  </si>
  <si>
    <t>佐々木工業</t>
    <rPh sb="0" eb="3">
      <t>ササキ</t>
    </rPh>
    <rPh sb="3" eb="5">
      <t>コウギョウ</t>
    </rPh>
    <phoneticPr fontId="1"/>
  </si>
  <si>
    <t>四国ｸﾘｴｰﾄ</t>
    <rPh sb="0" eb="2">
      <t>シコク</t>
    </rPh>
    <phoneticPr fontId="1"/>
  </si>
  <si>
    <t>四国中央開発</t>
    <rPh sb="0" eb="2">
      <t>シコク</t>
    </rPh>
    <rPh sb="2" eb="4">
      <t>チュウオウ</t>
    </rPh>
    <rPh sb="4" eb="6">
      <t>カイハツ</t>
    </rPh>
    <phoneticPr fontId="1"/>
  </si>
  <si>
    <t>昭電ﾃｯｸｽ</t>
    <rPh sb="0" eb="1">
      <t>ショウ</t>
    </rPh>
    <rPh sb="1" eb="2">
      <t>デン</t>
    </rPh>
    <phoneticPr fontId="1"/>
  </si>
  <si>
    <t>常裕ﾊﾟﾙﾌﾟ寒川</t>
    <rPh sb="0" eb="1">
      <t>ジョウ</t>
    </rPh>
    <rPh sb="1" eb="2">
      <t>ユウ</t>
    </rPh>
    <rPh sb="7" eb="9">
      <t>サンガワ</t>
    </rPh>
    <phoneticPr fontId="1"/>
  </si>
  <si>
    <t>石和設備工業</t>
    <rPh sb="0" eb="2">
      <t>セキワ</t>
    </rPh>
    <rPh sb="2" eb="4">
      <t>セツビ</t>
    </rPh>
    <rPh sb="4" eb="6">
      <t>コウギョウ</t>
    </rPh>
    <phoneticPr fontId="1"/>
  </si>
  <si>
    <t>大真工業</t>
    <rPh sb="0" eb="2">
      <t>タイシン</t>
    </rPh>
    <rPh sb="2" eb="4">
      <t>コウギョウ</t>
    </rPh>
    <phoneticPr fontId="1"/>
  </si>
  <si>
    <t>髙井電気商会</t>
    <rPh sb="0" eb="2">
      <t>タカイ</t>
    </rPh>
    <rPh sb="2" eb="4">
      <t>デンキ</t>
    </rPh>
    <rPh sb="4" eb="6">
      <t>ショウカイ</t>
    </rPh>
    <phoneticPr fontId="1"/>
  </si>
  <si>
    <t>棚野電工</t>
    <rPh sb="0" eb="2">
      <t>タナノ</t>
    </rPh>
    <rPh sb="2" eb="4">
      <t>デンコウ</t>
    </rPh>
    <phoneticPr fontId="1"/>
  </si>
  <si>
    <t>大輝</t>
    <rPh sb="0" eb="2">
      <t>ダイキ</t>
    </rPh>
    <phoneticPr fontId="1"/>
  </si>
  <si>
    <t>新ﾀｯｸ化成豊中</t>
    <rPh sb="0" eb="1">
      <t>シン</t>
    </rPh>
    <rPh sb="4" eb="6">
      <t>カセイ</t>
    </rPh>
    <rPh sb="6" eb="8">
      <t>トヨナカ</t>
    </rPh>
    <phoneticPr fontId="1"/>
  </si>
  <si>
    <t>ﾀｯｸ化成財田工場</t>
    <rPh sb="3" eb="5">
      <t>カセイ</t>
    </rPh>
    <rPh sb="5" eb="7">
      <t>ザイダ</t>
    </rPh>
    <rPh sb="7" eb="9">
      <t>コウジョウ</t>
    </rPh>
    <phoneticPr fontId="1"/>
  </si>
  <si>
    <t>新ﾀｯｸ化成川之江</t>
    <rPh sb="0" eb="1">
      <t>シン</t>
    </rPh>
    <rPh sb="4" eb="6">
      <t>カセイ</t>
    </rPh>
    <rPh sb="6" eb="9">
      <t>カワノエ</t>
    </rPh>
    <phoneticPr fontId="1"/>
  </si>
  <si>
    <t>真鍋板金工業</t>
    <rPh sb="0" eb="2">
      <t>マナベ</t>
    </rPh>
    <rPh sb="2" eb="4">
      <t>イタガネ</t>
    </rPh>
    <rPh sb="4" eb="6">
      <t>コウギョウ</t>
    </rPh>
    <phoneticPr fontId="1"/>
  </si>
  <si>
    <t>丸菱ﾍﾟｰﾊﾟｰﾃｯｸ</t>
    <rPh sb="0" eb="2">
      <t>マルビシ</t>
    </rPh>
    <phoneticPr fontId="1"/>
  </si>
  <si>
    <t>三島運輸</t>
    <rPh sb="0" eb="2">
      <t>ミシマ</t>
    </rPh>
    <rPh sb="2" eb="4">
      <t>ウンユ</t>
    </rPh>
    <phoneticPr fontId="1"/>
  </si>
  <si>
    <t>三ツ輪化学工業</t>
    <rPh sb="0" eb="1">
      <t>ミ</t>
    </rPh>
    <rPh sb="2" eb="3">
      <t>ワ</t>
    </rPh>
    <rPh sb="3" eb="5">
      <t>カガク</t>
    </rPh>
    <rPh sb="5" eb="7">
      <t>コウギョウ</t>
    </rPh>
    <phoneticPr fontId="1"/>
  </si>
  <si>
    <t>(有)森実</t>
    <rPh sb="0" eb="3">
      <t>ユウ</t>
    </rPh>
    <rPh sb="3" eb="5">
      <t>モリザネ</t>
    </rPh>
    <phoneticPr fontId="1"/>
  </si>
  <si>
    <t>(有)ｱｲ住建</t>
    <rPh sb="0" eb="3">
      <t>ユウ</t>
    </rPh>
    <rPh sb="5" eb="7">
      <t>ジュウケン</t>
    </rPh>
    <phoneticPr fontId="1"/>
  </si>
  <si>
    <t>森実工業</t>
    <rPh sb="0" eb="2">
      <t>モリザネ</t>
    </rPh>
    <rPh sb="2" eb="4">
      <t>コウギョウ</t>
    </rPh>
    <phoneticPr fontId="1"/>
  </si>
  <si>
    <t>株式会社ﾄｰﾖ</t>
    <rPh sb="0" eb="4">
      <t>カブシキガイシャ</t>
    </rPh>
    <phoneticPr fontId="1"/>
  </si>
  <si>
    <t>宮内機工</t>
    <rPh sb="0" eb="2">
      <t>ミヤウチ</t>
    </rPh>
    <rPh sb="2" eb="4">
      <t>キコウ</t>
    </rPh>
    <phoneticPr fontId="1"/>
  </si>
  <si>
    <t>裕起</t>
    <rPh sb="0" eb="1">
      <t>ユウ</t>
    </rPh>
    <rPh sb="1" eb="2">
      <t>キ</t>
    </rPh>
    <phoneticPr fontId="1"/>
  </si>
  <si>
    <t>金星製紙</t>
    <rPh sb="0" eb="2">
      <t>キンセイ</t>
    </rPh>
    <rPh sb="2" eb="4">
      <t>セイシ</t>
    </rPh>
    <phoneticPr fontId="1"/>
  </si>
  <si>
    <t>進藤重晴商店</t>
    <rPh sb="0" eb="2">
      <t>シンドウ</t>
    </rPh>
    <rPh sb="2" eb="3">
      <t>ジュウ</t>
    </rPh>
    <rPh sb="3" eb="4">
      <t>セイ</t>
    </rPh>
    <rPh sb="4" eb="6">
      <t>ショウテン</t>
    </rPh>
    <phoneticPr fontId="1"/>
  </si>
  <si>
    <t>ｶﾐ商事開発企画</t>
    <rPh sb="2" eb="4">
      <t>ショウジ</t>
    </rPh>
    <rPh sb="4" eb="6">
      <t>カイハツ</t>
    </rPh>
    <rPh sb="6" eb="8">
      <t>キカク</t>
    </rPh>
    <phoneticPr fontId="1"/>
  </si>
  <si>
    <t>久保組</t>
    <rPh sb="0" eb="3">
      <t>クボグミ</t>
    </rPh>
    <phoneticPr fontId="1"/>
  </si>
  <si>
    <t>近藤電設</t>
    <rPh sb="0" eb="2">
      <t>コンドウ</t>
    </rPh>
    <rPh sb="2" eb="4">
      <t>デンセツ</t>
    </rPh>
    <phoneticPr fontId="1"/>
  </si>
  <si>
    <t>寒川ｶﾞｽ</t>
    <rPh sb="0" eb="2">
      <t>サンガワ</t>
    </rPh>
    <phoneticPr fontId="1"/>
  </si>
  <si>
    <t>三星生ｺﾝ</t>
    <rPh sb="0" eb="2">
      <t>サンセイ</t>
    </rPh>
    <rPh sb="2" eb="3">
      <t>ナマ</t>
    </rPh>
    <phoneticPr fontId="1"/>
  </si>
  <si>
    <t>新電設備工業</t>
    <rPh sb="0" eb="1">
      <t>シン</t>
    </rPh>
    <rPh sb="1" eb="2">
      <t>デン</t>
    </rPh>
    <rPh sb="2" eb="4">
      <t>セツビ</t>
    </rPh>
    <rPh sb="4" eb="6">
      <t>コウギョウ</t>
    </rPh>
    <phoneticPr fontId="1"/>
  </si>
  <si>
    <t>弘大商事</t>
    <rPh sb="0" eb="1">
      <t>ヒロ</t>
    </rPh>
    <rPh sb="1" eb="2">
      <t>ダイ</t>
    </rPh>
    <rPh sb="2" eb="4">
      <t>ショウジ</t>
    </rPh>
    <phoneticPr fontId="1"/>
  </si>
  <si>
    <t>西尾ﾚﾝﾄｵｰﾙ</t>
    <rPh sb="0" eb="2">
      <t>ニシオ</t>
    </rPh>
    <phoneticPr fontId="1"/>
  </si>
  <si>
    <t>尾藤建設</t>
    <rPh sb="0" eb="2">
      <t>ビトウ</t>
    </rPh>
    <rPh sb="2" eb="4">
      <t>ケンセツ</t>
    </rPh>
    <phoneticPr fontId="1"/>
  </si>
  <si>
    <t>出光ﾘﾃｰﾙ販売</t>
    <rPh sb="0" eb="1">
      <t>デ</t>
    </rPh>
    <rPh sb="1" eb="2">
      <t>コウ</t>
    </rPh>
    <rPh sb="6" eb="8">
      <t>ハンバイ</t>
    </rPh>
    <phoneticPr fontId="1"/>
  </si>
  <si>
    <t>四国中央病院</t>
    <rPh sb="0" eb="6">
      <t>シコクチュウオウビョウイン</t>
    </rPh>
    <phoneticPr fontId="1"/>
  </si>
  <si>
    <t>曽我部建設</t>
    <rPh sb="0" eb="3">
      <t>ソガベ</t>
    </rPh>
    <rPh sb="3" eb="5">
      <t>ケンセツ</t>
    </rPh>
    <phoneticPr fontId="1"/>
  </si>
  <si>
    <t>株式会社ｱｲﾜ</t>
    <rPh sb="0" eb="4">
      <t>カブシキガイシャ</t>
    </rPh>
    <phoneticPr fontId="1"/>
  </si>
  <si>
    <t>二葉電気株式会社</t>
    <rPh sb="0" eb="1">
      <t>ニ</t>
    </rPh>
    <rPh sb="1" eb="2">
      <t>ヨウ</t>
    </rPh>
    <rPh sb="2" eb="4">
      <t>デンキ</t>
    </rPh>
    <rPh sb="4" eb="8">
      <t>カブシキガイシャ</t>
    </rPh>
    <phoneticPr fontId="1"/>
  </si>
  <si>
    <t>大西物流株式会社</t>
    <rPh sb="0" eb="2">
      <t>オオニシ</t>
    </rPh>
    <rPh sb="2" eb="4">
      <t>ブツリュウ</t>
    </rPh>
    <rPh sb="4" eb="8">
      <t>カブシキガイシャ</t>
    </rPh>
    <phoneticPr fontId="1"/>
  </si>
  <si>
    <t>一宮運輸株式会社</t>
    <rPh sb="0" eb="2">
      <t>イチミヤ</t>
    </rPh>
    <rPh sb="2" eb="4">
      <t>ウンユ</t>
    </rPh>
    <rPh sb="4" eb="8">
      <t>カブシキガイシャ</t>
    </rPh>
    <phoneticPr fontId="1"/>
  </si>
  <si>
    <t>四国紙販売</t>
    <rPh sb="0" eb="2">
      <t>シコク</t>
    </rPh>
    <rPh sb="2" eb="3">
      <t>カミ</t>
    </rPh>
    <rPh sb="3" eb="5">
      <t>ハンバイ</t>
    </rPh>
    <phoneticPr fontId="1"/>
  </si>
  <si>
    <t>日本GEｷｬﾋﾟﾀﾙ</t>
    <rPh sb="0" eb="2">
      <t>ニホン</t>
    </rPh>
    <phoneticPr fontId="1"/>
  </si>
  <si>
    <t>川之江造機㈱</t>
    <rPh sb="0" eb="3">
      <t>カワノエ</t>
    </rPh>
    <rPh sb="3" eb="5">
      <t>ゾウキ</t>
    </rPh>
    <phoneticPr fontId="1"/>
  </si>
  <si>
    <t>四国中央市役所</t>
    <rPh sb="0" eb="5">
      <t>シコクチュウオウシ</t>
    </rPh>
    <rPh sb="5" eb="7">
      <t>ヤクショ</t>
    </rPh>
    <phoneticPr fontId="1"/>
  </si>
  <si>
    <t>ﾀﾞｲｵｰｴﾝｼﾞ一課</t>
    <rPh sb="9" eb="11">
      <t>イッカ</t>
    </rPh>
    <phoneticPr fontId="1"/>
  </si>
  <si>
    <t>大王製紙</t>
    <rPh sb="0" eb="2">
      <t>ダイオウ</t>
    </rPh>
    <rPh sb="2" eb="4">
      <t>セイシ</t>
    </rPh>
    <phoneticPr fontId="1"/>
  </si>
  <si>
    <t>(有)ﾔﾏﾌﾞﾗ</t>
    <rPh sb="0" eb="3">
      <t>ユウ</t>
    </rPh>
    <phoneticPr fontId="1"/>
  </si>
  <si>
    <t>尾木製缶所</t>
    <rPh sb="0" eb="2">
      <t>オギ</t>
    </rPh>
    <rPh sb="2" eb="4">
      <t>セイカン</t>
    </rPh>
    <rPh sb="4" eb="5">
      <t>ショ</t>
    </rPh>
    <phoneticPr fontId="1"/>
  </si>
  <si>
    <t>共和自動車商会</t>
    <rPh sb="0" eb="2">
      <t>キョウワ</t>
    </rPh>
    <rPh sb="2" eb="5">
      <t>ジドウシャ</t>
    </rPh>
    <rPh sb="5" eb="7">
      <t>ショウカイ</t>
    </rPh>
    <phoneticPr fontId="1"/>
  </si>
  <si>
    <t>喜井仁志</t>
    <rPh sb="0" eb="2">
      <t>キイ</t>
    </rPh>
    <rPh sb="2" eb="4">
      <t>ヒトシ</t>
    </rPh>
    <phoneticPr fontId="1"/>
  </si>
  <si>
    <t>三好工業所</t>
    <rPh sb="0" eb="2">
      <t>ミヨシ</t>
    </rPh>
    <rPh sb="2" eb="5">
      <t>コウギョウショ</t>
    </rPh>
    <phoneticPr fontId="1"/>
  </si>
  <si>
    <t>ｶｸﾜｶ水産</t>
    <rPh sb="4" eb="6">
      <t>スイサン</t>
    </rPh>
    <phoneticPr fontId="1"/>
  </si>
  <si>
    <t>ｼﾝﾜ三豊工場</t>
    <rPh sb="3" eb="5">
      <t>ミトヨ</t>
    </rPh>
    <rPh sb="5" eb="7">
      <t>コウジョウ</t>
    </rPh>
    <phoneticPr fontId="1"/>
  </si>
  <si>
    <t>ｵｰｼﾞｰ株式会社</t>
    <rPh sb="5" eb="9">
      <t>カブシキガイシャ</t>
    </rPh>
    <phoneticPr fontId="1"/>
  </si>
  <si>
    <t>ｲﾄﾏﾝ株式会社</t>
    <rPh sb="4" eb="8">
      <t>カブシキガイシャ</t>
    </rPh>
    <phoneticPr fontId="1"/>
  </si>
  <si>
    <t>ﾕﾆﾁｬｰﾑﾌﾟﾛﾀﾞｸﾂ大野原</t>
    <rPh sb="13" eb="15">
      <t>オオノ</t>
    </rPh>
    <rPh sb="15" eb="16">
      <t>ハラ</t>
    </rPh>
    <phoneticPr fontId="1"/>
  </si>
  <si>
    <t>坪野谷紙業</t>
    <rPh sb="0" eb="3">
      <t>ツボノヤ</t>
    </rPh>
    <rPh sb="3" eb="5">
      <t>シギョウ</t>
    </rPh>
    <phoneticPr fontId="1"/>
  </si>
  <si>
    <t>岸技研　岸照展</t>
    <rPh sb="0" eb="1">
      <t>キシ</t>
    </rPh>
    <rPh sb="1" eb="3">
      <t>ギケン</t>
    </rPh>
    <rPh sb="4" eb="5">
      <t>キシ</t>
    </rPh>
    <rPh sb="5" eb="6">
      <t>ショウ</t>
    </rPh>
    <rPh sb="6" eb="7">
      <t>テン</t>
    </rPh>
    <phoneticPr fontId="1"/>
  </si>
  <si>
    <t>技研工機株式会社</t>
    <rPh sb="0" eb="2">
      <t>ギケン</t>
    </rPh>
    <rPh sb="2" eb="4">
      <t>コウキ</t>
    </rPh>
    <rPh sb="4" eb="8">
      <t>カブシキガイシャ</t>
    </rPh>
    <phoneticPr fontId="1"/>
  </si>
  <si>
    <t>誠和設備</t>
    <rPh sb="0" eb="2">
      <t>セイワ</t>
    </rPh>
    <rPh sb="2" eb="4">
      <t>セツビ</t>
    </rPh>
    <phoneticPr fontId="1"/>
  </si>
  <si>
    <t>全国農業協同組合連合</t>
    <rPh sb="0" eb="2">
      <t>ゼンコク</t>
    </rPh>
    <rPh sb="2" eb="4">
      <t>ノウギョウ</t>
    </rPh>
    <rPh sb="4" eb="6">
      <t>キョウドウ</t>
    </rPh>
    <rPh sb="6" eb="8">
      <t>クミアイ</t>
    </rPh>
    <rPh sb="8" eb="10">
      <t>レンゴウ</t>
    </rPh>
    <phoneticPr fontId="1"/>
  </si>
  <si>
    <t>ｺｳｾｲ工業</t>
    <rPh sb="4" eb="6">
      <t>コウギョウ</t>
    </rPh>
    <phoneticPr fontId="1"/>
  </si>
  <si>
    <t>進和技研</t>
    <rPh sb="0" eb="2">
      <t>シンワ</t>
    </rPh>
    <rPh sb="2" eb="4">
      <t>ギケン</t>
    </rPh>
    <phoneticPr fontId="1"/>
  </si>
  <si>
    <t>小薮工業</t>
    <rPh sb="0" eb="1">
      <t>コ</t>
    </rPh>
    <rPh sb="1" eb="2">
      <t>ヤブ</t>
    </rPh>
    <rPh sb="2" eb="4">
      <t>コウギョウ</t>
    </rPh>
    <phoneticPr fontId="1"/>
  </si>
  <si>
    <t>守谷ｸﾞﾗﾝﾄﾞﾌｧｰﾑ</t>
    <rPh sb="0" eb="2">
      <t>モリヤ</t>
    </rPh>
    <phoneticPr fontId="1"/>
  </si>
  <si>
    <t>新ﾀｯｸ　山本工場</t>
    <rPh sb="0" eb="1">
      <t>シン</t>
    </rPh>
    <rPh sb="5" eb="7">
      <t>ヤマモト</t>
    </rPh>
    <rPh sb="7" eb="9">
      <t>コウジョウ</t>
    </rPh>
    <phoneticPr fontId="1"/>
  </si>
  <si>
    <t>ﾘﾌﾞﾄﾞｩｺｰﾎﾟﾚｰｼｮﾝ市場</t>
    <rPh sb="15" eb="17">
      <t>イチバ</t>
    </rPh>
    <phoneticPr fontId="1"/>
  </si>
  <si>
    <t>第一衛材</t>
    <rPh sb="0" eb="4">
      <t>ダイイチエイザイ</t>
    </rPh>
    <phoneticPr fontId="1"/>
  </si>
  <si>
    <t>ﾀｯｸ化成 機能製品</t>
    <rPh sb="3" eb="5">
      <t>カセイ</t>
    </rPh>
    <rPh sb="6" eb="8">
      <t>キノウ</t>
    </rPh>
    <rPh sb="8" eb="10">
      <t>セイヒン</t>
    </rPh>
    <phoneticPr fontId="1"/>
  </si>
  <si>
    <t>ﾀｯｸ化成 RFID</t>
    <rPh sb="3" eb="5">
      <t>カセイ</t>
    </rPh>
    <phoneticPr fontId="1"/>
  </si>
  <si>
    <t>大谷工業</t>
    <rPh sb="0" eb="2">
      <t>オオタニ</t>
    </rPh>
    <rPh sb="2" eb="4">
      <t>コウギョウ</t>
    </rPh>
    <phoneticPr fontId="1"/>
  </si>
  <si>
    <t>山崎製ﾊﾟﾝ</t>
    <rPh sb="0" eb="1">
      <t>ヤマ</t>
    </rPh>
    <rPh sb="1" eb="2">
      <t>ザキ</t>
    </rPh>
    <rPh sb="2" eb="3">
      <t>セイ</t>
    </rPh>
    <phoneticPr fontId="1"/>
  </si>
  <si>
    <t>金柳製紙</t>
    <rPh sb="0" eb="1">
      <t>キン</t>
    </rPh>
    <rPh sb="1" eb="2">
      <t>リュウ</t>
    </rPh>
    <rPh sb="2" eb="4">
      <t>セイシ</t>
    </rPh>
    <phoneticPr fontId="1"/>
  </si>
  <si>
    <t>真正機械</t>
    <rPh sb="0" eb="2">
      <t>シンセイ</t>
    </rPh>
    <rPh sb="2" eb="4">
      <t>キカイ</t>
    </rPh>
    <phoneticPr fontId="1"/>
  </si>
  <si>
    <t>昭和紙工</t>
    <rPh sb="0" eb="2">
      <t>ショウワ</t>
    </rPh>
    <rPh sb="2" eb="4">
      <t>シコウ</t>
    </rPh>
    <phoneticPr fontId="1"/>
  </si>
  <si>
    <t>豊岡福助</t>
    <rPh sb="0" eb="2">
      <t>トヨオカ</t>
    </rPh>
    <rPh sb="2" eb="4">
      <t>フクスケ</t>
    </rPh>
    <phoneticPr fontId="1"/>
  </si>
  <si>
    <t>ﾃｸﾉ森</t>
    <rPh sb="3" eb="4">
      <t>モリ</t>
    </rPh>
    <phoneticPr fontId="1"/>
  </si>
  <si>
    <t>豊河電機</t>
    <rPh sb="0" eb="1">
      <t>トヨ</t>
    </rPh>
    <rPh sb="1" eb="2">
      <t>ガ</t>
    </rPh>
    <rPh sb="2" eb="4">
      <t>デンキ</t>
    </rPh>
    <phoneticPr fontId="1"/>
  </si>
  <si>
    <t>三和倉庫作業</t>
    <rPh sb="0" eb="2">
      <t>サンワ</t>
    </rPh>
    <rPh sb="2" eb="4">
      <t>ソウコ</t>
    </rPh>
    <rPh sb="4" eb="6">
      <t>サギョウ</t>
    </rPh>
    <phoneticPr fontId="1"/>
  </si>
  <si>
    <t>井原工業松山</t>
    <rPh sb="0" eb="2">
      <t>イハラ</t>
    </rPh>
    <rPh sb="2" eb="4">
      <t>コウギョウ</t>
    </rPh>
    <rPh sb="4" eb="6">
      <t>マツヤマ</t>
    </rPh>
    <phoneticPr fontId="1"/>
  </si>
  <si>
    <t>大分工業</t>
    <rPh sb="0" eb="2">
      <t>オオイタ</t>
    </rPh>
    <rPh sb="2" eb="4">
      <t>コウギョウ</t>
    </rPh>
    <phoneticPr fontId="1"/>
  </si>
  <si>
    <t>吉田鉄工</t>
    <rPh sb="0" eb="2">
      <t>ヨシダ</t>
    </rPh>
    <rPh sb="2" eb="4">
      <t>テッコウ</t>
    </rPh>
    <phoneticPr fontId="1"/>
  </si>
  <si>
    <t>三栄　第二工場</t>
    <rPh sb="0" eb="2">
      <t>サンエイ</t>
    </rPh>
    <rPh sb="3" eb="7">
      <t>ダイニコウジョウ</t>
    </rPh>
    <phoneticPr fontId="1"/>
  </si>
  <si>
    <t>平石石油</t>
    <rPh sb="0" eb="2">
      <t>ヒライシ</t>
    </rPh>
    <rPh sb="2" eb="4">
      <t>セキユ</t>
    </rPh>
    <phoneticPr fontId="1"/>
  </si>
  <si>
    <t>武村水産</t>
    <rPh sb="0" eb="2">
      <t>タケムラ</t>
    </rPh>
    <rPh sb="2" eb="4">
      <t>スイサン</t>
    </rPh>
    <phoneticPr fontId="1"/>
  </si>
  <si>
    <t>日野組</t>
    <rPh sb="0" eb="3">
      <t>ヒノグミ</t>
    </rPh>
    <phoneticPr fontId="1"/>
  </si>
  <si>
    <t>四国ｺｽﾒ</t>
    <rPh sb="0" eb="2">
      <t>シコク</t>
    </rPh>
    <phoneticPr fontId="1"/>
  </si>
  <si>
    <t>伸栄技研</t>
    <rPh sb="0" eb="2">
      <t>シンエイ</t>
    </rPh>
    <rPh sb="2" eb="4">
      <t>ギケン</t>
    </rPh>
    <phoneticPr fontId="1"/>
  </si>
  <si>
    <t>西竹製紙</t>
    <rPh sb="0" eb="2">
      <t>ニシタケ</t>
    </rPh>
    <rPh sb="2" eb="4">
      <t>セイシ</t>
    </rPh>
    <phoneticPr fontId="1"/>
  </si>
  <si>
    <t>石井紙業</t>
    <rPh sb="0" eb="2">
      <t>イシイ</t>
    </rPh>
    <rPh sb="2" eb="4">
      <t>シギョウ</t>
    </rPh>
    <phoneticPr fontId="1"/>
  </si>
  <si>
    <t>四国中央汽船</t>
    <rPh sb="0" eb="2">
      <t>シコク</t>
    </rPh>
    <rPh sb="2" eb="4">
      <t>チュウオウ</t>
    </rPh>
    <rPh sb="4" eb="6">
      <t>キセン</t>
    </rPh>
    <phoneticPr fontId="1"/>
  </si>
  <si>
    <t>ﾏﾙﾄﾓ産商</t>
    <rPh sb="4" eb="6">
      <t>サンショウ</t>
    </rPh>
    <phoneticPr fontId="1"/>
  </si>
  <si>
    <t>創裕</t>
    <rPh sb="0" eb="1">
      <t>ソウ</t>
    </rPh>
    <rPh sb="1" eb="2">
      <t>ユウ</t>
    </rPh>
    <phoneticPr fontId="1"/>
  </si>
  <si>
    <t>ｽｽﾞｷ販売四国中央</t>
    <rPh sb="4" eb="6">
      <t>ハンバイ</t>
    </rPh>
    <rPh sb="6" eb="8">
      <t>シコク</t>
    </rPh>
    <rPh sb="8" eb="10">
      <t>チュウオウ</t>
    </rPh>
    <phoneticPr fontId="1"/>
  </si>
  <si>
    <t>三共ﾒﾝﾃ</t>
    <rPh sb="0" eb="2">
      <t>サンキョウ</t>
    </rPh>
    <phoneticPr fontId="1"/>
  </si>
  <si>
    <t>中央紙工</t>
    <rPh sb="0" eb="2">
      <t>チュウオウ</t>
    </rPh>
    <rPh sb="2" eb="4">
      <t>シコウ</t>
    </rPh>
    <phoneticPr fontId="1"/>
  </si>
  <si>
    <t>住化ｴﾝﾋﾞﾛｻｲｴﾝｽ</t>
    <rPh sb="0" eb="2">
      <t>スミカ</t>
    </rPh>
    <phoneticPr fontId="1"/>
  </si>
  <si>
    <t>㈱ﾓﾘ商</t>
    <rPh sb="3" eb="4">
      <t>ショウ</t>
    </rPh>
    <phoneticPr fontId="1"/>
  </si>
  <si>
    <t>㈲佐藤紙工</t>
    <rPh sb="1" eb="3">
      <t>サトウ</t>
    </rPh>
    <rPh sb="3" eb="5">
      <t>シコウ</t>
    </rPh>
    <phoneticPr fontId="1"/>
  </si>
  <si>
    <t>城山製紙</t>
    <rPh sb="0" eb="2">
      <t>シロヤマ</t>
    </rPh>
    <rPh sb="2" eb="4">
      <t>セイシ</t>
    </rPh>
    <phoneticPr fontId="1"/>
  </si>
  <si>
    <t>ﾃｰﾌﾞﾙﾏｰｸ善通寺</t>
    <rPh sb="8" eb="11">
      <t>ゼンツウジ</t>
    </rPh>
    <phoneticPr fontId="1"/>
  </si>
  <si>
    <t>雑口(海外輸出)</t>
    <rPh sb="0" eb="1">
      <t>ザツ</t>
    </rPh>
    <rPh sb="1" eb="2">
      <t>クチ</t>
    </rPh>
    <rPh sb="3" eb="5">
      <t>カイガイ</t>
    </rPh>
    <rPh sb="5" eb="7">
      <t>ユシュツ</t>
    </rPh>
    <phoneticPr fontId="1"/>
  </si>
  <si>
    <t>尾本加工</t>
    <rPh sb="0" eb="2">
      <t>オモト</t>
    </rPh>
    <rPh sb="2" eb="4">
      <t>カコウ</t>
    </rPh>
    <phoneticPr fontId="1"/>
  </si>
  <si>
    <t>ｱｲﾗﾝﾄﾞ三島</t>
    <rPh sb="6" eb="8">
      <t>ミシマ</t>
    </rPh>
    <phoneticPr fontId="1"/>
  </si>
  <si>
    <t>伊予秀芸</t>
    <rPh sb="0" eb="2">
      <t>イヨ</t>
    </rPh>
    <rPh sb="2" eb="3">
      <t>シュウ</t>
    </rPh>
    <rPh sb="3" eb="4">
      <t>ゲイ</t>
    </rPh>
    <phoneticPr fontId="1"/>
  </si>
  <si>
    <t>尾本商店</t>
    <rPh sb="0" eb="2">
      <t>オモト</t>
    </rPh>
    <rPh sb="2" eb="4">
      <t>ショウテン</t>
    </rPh>
    <phoneticPr fontId="1"/>
  </si>
  <si>
    <t>大西機設</t>
    <rPh sb="0" eb="2">
      <t>オオニシ</t>
    </rPh>
    <rPh sb="2" eb="4">
      <t>キセツ</t>
    </rPh>
    <phoneticPr fontId="1"/>
  </si>
  <si>
    <t>大西工業所</t>
    <rPh sb="0" eb="2">
      <t>オオニシ</t>
    </rPh>
    <rPh sb="2" eb="5">
      <t>コウギョウショ</t>
    </rPh>
    <phoneticPr fontId="1"/>
  </si>
  <si>
    <t>金生鉄工所</t>
    <rPh sb="0" eb="2">
      <t>キンセイ</t>
    </rPh>
    <rPh sb="2" eb="5">
      <t>テッコウショ</t>
    </rPh>
    <phoneticPr fontId="1"/>
  </si>
  <si>
    <t>近藤印刷工業</t>
    <rPh sb="0" eb="2">
      <t>コンドウ</t>
    </rPh>
    <rPh sb="2" eb="4">
      <t>インサツ</t>
    </rPh>
    <rPh sb="4" eb="6">
      <t>コウギョウ</t>
    </rPh>
    <phoneticPr fontId="1"/>
  </si>
  <si>
    <t>三愛工業</t>
    <rPh sb="0" eb="2">
      <t>サンアイ</t>
    </rPh>
    <rPh sb="2" eb="4">
      <t>コウギョウ</t>
    </rPh>
    <phoneticPr fontId="1"/>
  </si>
  <si>
    <t>㈲石村住建</t>
    <rPh sb="1" eb="3">
      <t>イシムラ</t>
    </rPh>
    <rPh sb="3" eb="5">
      <t>ジュウケン</t>
    </rPh>
    <phoneticPr fontId="1"/>
  </si>
  <si>
    <t>㈲東亜染芸</t>
    <rPh sb="1" eb="3">
      <t>トウア</t>
    </rPh>
    <rPh sb="3" eb="4">
      <t>ソ</t>
    </rPh>
    <rPh sb="4" eb="5">
      <t>ゲイ</t>
    </rPh>
    <phoneticPr fontId="1"/>
  </si>
  <si>
    <t>協栄紙工</t>
    <rPh sb="0" eb="2">
      <t>キョウエイ</t>
    </rPh>
    <rPh sb="2" eb="4">
      <t>シコウ</t>
    </rPh>
    <phoneticPr fontId="1"/>
  </si>
  <si>
    <t>福助ｴﾝｼﾞﾆｱﾘﾝｸﾞ</t>
    <rPh sb="0" eb="2">
      <t>フクスケ</t>
    </rPh>
    <phoneticPr fontId="1"/>
  </si>
  <si>
    <t>王子ｴﾝｼﾞﾆｱﾘﾝｸﾞ</t>
    <rPh sb="0" eb="2">
      <t>オウジ</t>
    </rPh>
    <phoneticPr fontId="1"/>
  </si>
  <si>
    <t>大成薬品工業</t>
    <rPh sb="0" eb="2">
      <t>タイセイ</t>
    </rPh>
    <rPh sb="2" eb="4">
      <t>ヤクヒン</t>
    </rPh>
    <rPh sb="4" eb="6">
      <t>コウギョウ</t>
    </rPh>
    <phoneticPr fontId="1"/>
  </si>
  <si>
    <t>千代田組</t>
    <rPh sb="0" eb="3">
      <t>チヨダ</t>
    </rPh>
    <rPh sb="3" eb="4">
      <t>クミ</t>
    </rPh>
    <phoneticPr fontId="1"/>
  </si>
  <si>
    <t>ﾂﾊﾞﾒ工業</t>
    <rPh sb="4" eb="6">
      <t>コウギョウ</t>
    </rPh>
    <phoneticPr fontId="1"/>
  </si>
  <si>
    <t>外山文具</t>
    <rPh sb="0" eb="2">
      <t>トヤマ</t>
    </rPh>
    <rPh sb="2" eb="4">
      <t>ブング</t>
    </rPh>
    <phoneticPr fontId="1"/>
  </si>
  <si>
    <t>中塚紙工</t>
    <rPh sb="0" eb="2">
      <t>ナカツカ</t>
    </rPh>
    <rPh sb="2" eb="4">
      <t>シコウ</t>
    </rPh>
    <phoneticPr fontId="1"/>
  </si>
  <si>
    <t>中特建機</t>
    <rPh sb="0" eb="1">
      <t>ナカ</t>
    </rPh>
    <rPh sb="1" eb="2">
      <t>トク</t>
    </rPh>
    <rPh sb="2" eb="4">
      <t>ケンキ</t>
    </rPh>
    <phoneticPr fontId="1"/>
  </si>
  <si>
    <t>常裕　香川工場</t>
    <rPh sb="0" eb="1">
      <t>ジョウ</t>
    </rPh>
    <rPh sb="1" eb="2">
      <t>ユウ</t>
    </rPh>
    <rPh sb="3" eb="5">
      <t>カガワ</t>
    </rPh>
    <rPh sb="5" eb="7">
      <t>コウジョウ</t>
    </rPh>
    <phoneticPr fontId="1"/>
  </si>
  <si>
    <t>㈱丸正</t>
    <rPh sb="1" eb="2">
      <t>マル</t>
    </rPh>
    <rPh sb="2" eb="3">
      <t>ショウ</t>
    </rPh>
    <phoneticPr fontId="1"/>
  </si>
  <si>
    <t>㈱成和</t>
    <rPh sb="1" eb="2">
      <t>ナル</t>
    </rPh>
    <rPh sb="2" eb="3">
      <t>ワ</t>
    </rPh>
    <phoneticPr fontId="1"/>
  </si>
  <si>
    <t>山中商事</t>
    <rPh sb="0" eb="2">
      <t>ヤマナカ</t>
    </rPh>
    <rPh sb="2" eb="4">
      <t>ショウジ</t>
    </rPh>
    <phoneticPr fontId="1"/>
  </si>
  <si>
    <t>丸善織物㈱</t>
    <rPh sb="0" eb="2">
      <t>マルゼン</t>
    </rPh>
    <rPh sb="2" eb="4">
      <t>オリモノ</t>
    </rPh>
    <phoneticPr fontId="1"/>
  </si>
  <si>
    <t>三島ﾎﾟｰﾄｻｰﾋﾞｽ</t>
    <rPh sb="0" eb="2">
      <t>ミシマ</t>
    </rPh>
    <phoneticPr fontId="1"/>
  </si>
  <si>
    <t>宮崎　光男</t>
    <rPh sb="0" eb="2">
      <t>ミヤザキ</t>
    </rPh>
    <rPh sb="3" eb="4">
      <t>コウ</t>
    </rPh>
    <rPh sb="4" eb="5">
      <t>オトコ</t>
    </rPh>
    <phoneticPr fontId="1"/>
  </si>
  <si>
    <t>㈱豊河電機</t>
    <rPh sb="1" eb="2">
      <t>トミ</t>
    </rPh>
    <rPh sb="2" eb="3">
      <t>カワ</t>
    </rPh>
    <rPh sb="3" eb="5">
      <t>デンキ</t>
    </rPh>
    <phoneticPr fontId="1"/>
  </si>
  <si>
    <t>白川建機</t>
    <rPh sb="0" eb="2">
      <t>シラカワ</t>
    </rPh>
    <rPh sb="2" eb="4">
      <t>ケンキ</t>
    </rPh>
    <phoneticPr fontId="1"/>
  </si>
  <si>
    <t>朝日鉄工㈱</t>
    <rPh sb="0" eb="2">
      <t>アサヒ</t>
    </rPh>
    <rPh sb="2" eb="4">
      <t>テッコウ</t>
    </rPh>
    <phoneticPr fontId="1"/>
  </si>
  <si>
    <t>第一産業(株)</t>
    <rPh sb="0" eb="2">
      <t>ダイイチ</t>
    </rPh>
    <rPh sb="2" eb="4">
      <t>サンギョウ</t>
    </rPh>
    <rPh sb="4" eb="7">
      <t>カブ</t>
    </rPh>
    <phoneticPr fontId="1"/>
  </si>
  <si>
    <t>共和ﾃｸﾉ</t>
    <rPh sb="0" eb="2">
      <t>キョウワ</t>
    </rPh>
    <phoneticPr fontId="1"/>
  </si>
  <si>
    <t>梶原溶接工業所</t>
    <rPh sb="0" eb="4">
      <t>カジハラヨウセツ</t>
    </rPh>
    <rPh sb="4" eb="6">
      <t>コウギョウ</t>
    </rPh>
    <rPh sb="6" eb="7">
      <t>ショ</t>
    </rPh>
    <phoneticPr fontId="1"/>
  </si>
  <si>
    <t>森川ｻｯｼ</t>
    <rPh sb="0" eb="2">
      <t>モリカワ</t>
    </rPh>
    <phoneticPr fontId="1"/>
  </si>
  <si>
    <t>川之江機設</t>
    <rPh sb="0" eb="3">
      <t>カワノエ</t>
    </rPh>
    <rPh sb="3" eb="5">
      <t>キセツ</t>
    </rPh>
    <phoneticPr fontId="1"/>
  </si>
  <si>
    <t>佐古設備</t>
    <rPh sb="0" eb="2">
      <t>サコ</t>
    </rPh>
    <rPh sb="2" eb="4">
      <t>セツビ</t>
    </rPh>
    <phoneticPr fontId="1"/>
  </si>
  <si>
    <t>㈲ｻﾝｴｲ電気</t>
    <rPh sb="5" eb="7">
      <t>デンキ</t>
    </rPh>
    <phoneticPr fontId="1"/>
  </si>
  <si>
    <t>石村製紙</t>
    <rPh sb="0" eb="2">
      <t>イシムラ</t>
    </rPh>
    <rPh sb="2" eb="4">
      <t>セイシ</t>
    </rPh>
    <phoneticPr fontId="1"/>
  </si>
  <si>
    <t>森実機工㈱</t>
    <rPh sb="0" eb="2">
      <t>モリザネ</t>
    </rPh>
    <rPh sb="2" eb="4">
      <t>キコウ</t>
    </rPh>
    <phoneticPr fontId="1"/>
  </si>
  <si>
    <t>㈲森実</t>
    <rPh sb="1" eb="3">
      <t>モリザネ</t>
    </rPh>
    <phoneticPr fontId="1"/>
  </si>
  <si>
    <t>㈱新生興業</t>
    <rPh sb="1" eb="3">
      <t>シンセイ</t>
    </rPh>
    <rPh sb="3" eb="5">
      <t>コウギョウ</t>
    </rPh>
    <phoneticPr fontId="1"/>
  </si>
  <si>
    <t>森下工業</t>
    <rPh sb="0" eb="2">
      <t>モリシタ</t>
    </rPh>
    <rPh sb="2" eb="4">
      <t>コウギョウ</t>
    </rPh>
    <phoneticPr fontId="1"/>
  </si>
  <si>
    <t>石川農機具店</t>
    <rPh sb="0" eb="2">
      <t>イシカワ</t>
    </rPh>
    <rPh sb="2" eb="5">
      <t>ノウキグ</t>
    </rPh>
    <rPh sb="5" eb="6">
      <t>テン</t>
    </rPh>
    <phoneticPr fontId="1"/>
  </si>
  <si>
    <t>ｻﾑｿﾝ四国</t>
    <rPh sb="4" eb="6">
      <t>シコク</t>
    </rPh>
    <phoneticPr fontId="1"/>
  </si>
  <si>
    <t>四国厨房㈱</t>
    <rPh sb="0" eb="2">
      <t>シコク</t>
    </rPh>
    <rPh sb="2" eb="4">
      <t>チュウボウ</t>
    </rPh>
    <phoneticPr fontId="1"/>
  </si>
  <si>
    <t>㈱山下金物店</t>
    <rPh sb="1" eb="3">
      <t>ヤマシタ</t>
    </rPh>
    <rPh sb="3" eb="5">
      <t>カナモノ</t>
    </rPh>
    <rPh sb="5" eb="6">
      <t>テン</t>
    </rPh>
    <phoneticPr fontId="1"/>
  </si>
  <si>
    <t>高知ﾌﾟﾗﾝﾄｻｰﾋﾞｽ㈱</t>
    <rPh sb="0" eb="2">
      <t>コウチ</t>
    </rPh>
    <phoneticPr fontId="1"/>
  </si>
  <si>
    <t>鈴木樹脂工業</t>
    <rPh sb="0" eb="2">
      <t>スズキ</t>
    </rPh>
    <rPh sb="2" eb="4">
      <t>ジュシ</t>
    </rPh>
    <rPh sb="4" eb="6">
      <t>コウギョウ</t>
    </rPh>
    <phoneticPr fontId="1"/>
  </si>
  <si>
    <t>香川ｾｷｻﾝ㈱</t>
    <rPh sb="0" eb="2">
      <t>カガワ</t>
    </rPh>
    <phoneticPr fontId="1"/>
  </si>
  <si>
    <t>愛媛ﾀｶｲ</t>
    <rPh sb="0" eb="2">
      <t>エヒメ</t>
    </rPh>
    <phoneticPr fontId="1"/>
  </si>
  <si>
    <t>ﾊｸﾋﾞ化学</t>
    <rPh sb="4" eb="6">
      <t>カガク</t>
    </rPh>
    <phoneticPr fontId="1"/>
  </si>
  <si>
    <t>ﾔﾏｴ水産㈲</t>
    <rPh sb="3" eb="5">
      <t>スイサン</t>
    </rPh>
    <phoneticPr fontId="1"/>
  </si>
  <si>
    <t>㈱石川組</t>
    <rPh sb="1" eb="4">
      <t>イシカワグミ</t>
    </rPh>
    <phoneticPr fontId="1"/>
  </si>
  <si>
    <t>藤井牧場</t>
    <rPh sb="0" eb="2">
      <t>フジイ</t>
    </rPh>
    <rPh sb="2" eb="4">
      <t>ボクジョウ</t>
    </rPh>
    <phoneticPr fontId="1"/>
  </si>
  <si>
    <t>大鐵</t>
    <rPh sb="0" eb="1">
      <t>ダイ</t>
    </rPh>
    <rPh sb="1" eb="2">
      <t>テツ</t>
    </rPh>
    <phoneticPr fontId="1"/>
  </si>
  <si>
    <t>第一工業㈱</t>
    <rPh sb="0" eb="2">
      <t>ダイイチ</t>
    </rPh>
    <rPh sb="2" eb="4">
      <t>コウギョウ</t>
    </rPh>
    <phoneticPr fontId="1"/>
  </si>
  <si>
    <t>勇喜汽船㈱</t>
    <rPh sb="0" eb="2">
      <t>ユウキ</t>
    </rPh>
    <rPh sb="2" eb="4">
      <t>キセン</t>
    </rPh>
    <phoneticPr fontId="1"/>
  </si>
  <si>
    <t>日立ﾋﾞﾙｼｽﾃﾑ</t>
    <rPh sb="0" eb="2">
      <t>ヒタチ</t>
    </rPh>
    <phoneticPr fontId="1"/>
  </si>
  <si>
    <t>日大ｸﾞﾗﾋﾞﾔ</t>
    <rPh sb="0" eb="2">
      <t>ニチダイ</t>
    </rPh>
    <phoneticPr fontId="1"/>
  </si>
  <si>
    <t>第一ｸﾞﾗﾋﾞﾔ</t>
    <rPh sb="0" eb="2">
      <t>ダイイチ</t>
    </rPh>
    <phoneticPr fontId="1"/>
  </si>
  <si>
    <t>伊吹屋水産加工場</t>
    <rPh sb="0" eb="2">
      <t>イブキ</t>
    </rPh>
    <rPh sb="2" eb="3">
      <t>ヤ</t>
    </rPh>
    <rPh sb="3" eb="5">
      <t>スイサン</t>
    </rPh>
    <rPh sb="5" eb="7">
      <t>カコウ</t>
    </rPh>
    <rPh sb="7" eb="8">
      <t>ジョウ</t>
    </rPh>
    <phoneticPr fontId="1"/>
  </si>
  <si>
    <t>北四国ｸﾞﾗﾋﾞｱ印刷</t>
    <rPh sb="0" eb="1">
      <t>キタ</t>
    </rPh>
    <rPh sb="1" eb="3">
      <t>シコク</t>
    </rPh>
    <rPh sb="9" eb="11">
      <t>インサツ</t>
    </rPh>
    <phoneticPr fontId="1"/>
  </si>
  <si>
    <t>星光PMC</t>
    <rPh sb="0" eb="1">
      <t>ホシ</t>
    </rPh>
    <rPh sb="1" eb="2">
      <t>コウ</t>
    </rPh>
    <phoneticPr fontId="1"/>
  </si>
  <si>
    <t>石川紙工</t>
    <rPh sb="0" eb="2">
      <t>イシカワ</t>
    </rPh>
    <rPh sb="2" eb="4">
      <t>シコウ</t>
    </rPh>
    <phoneticPr fontId="1"/>
  </si>
  <si>
    <t>今村紙工</t>
    <rPh sb="0" eb="2">
      <t>イマムラ</t>
    </rPh>
    <rPh sb="2" eb="4">
      <t>シコウ</t>
    </rPh>
    <phoneticPr fontId="1"/>
  </si>
  <si>
    <t>ﾍﾞｽﾄﾃﾞﾘｶ(有)</t>
    <rPh sb="9" eb="10">
      <t>ユウ</t>
    </rPh>
    <phoneticPr fontId="1"/>
  </si>
  <si>
    <t>石崎商事㈱</t>
    <rPh sb="0" eb="2">
      <t>イシザキ</t>
    </rPh>
    <rPh sb="2" eb="4">
      <t>ショウジ</t>
    </rPh>
    <phoneticPr fontId="1"/>
  </si>
  <si>
    <t>宇和特紙㈱</t>
    <rPh sb="0" eb="2">
      <t>ウワ</t>
    </rPh>
    <rPh sb="2" eb="3">
      <t>トク</t>
    </rPh>
    <rPh sb="3" eb="4">
      <t>シ</t>
    </rPh>
    <phoneticPr fontId="1"/>
  </si>
  <si>
    <t>福田電工</t>
    <rPh sb="0" eb="2">
      <t>フクダ</t>
    </rPh>
    <rPh sb="2" eb="4">
      <t>デンコウ</t>
    </rPh>
    <phoneticPr fontId="1"/>
  </si>
  <si>
    <t>宇摩化成㈲</t>
    <rPh sb="0" eb="2">
      <t>ウマ</t>
    </rPh>
    <rPh sb="2" eb="4">
      <t>カセイ</t>
    </rPh>
    <phoneticPr fontId="1"/>
  </si>
  <si>
    <t>ｱｲ･ｹｲ電工</t>
    <rPh sb="5" eb="7">
      <t>デンコウ</t>
    </rPh>
    <phoneticPr fontId="1"/>
  </si>
  <si>
    <t>星野　隆司</t>
    <rPh sb="0" eb="2">
      <t>ホシノ</t>
    </rPh>
    <rPh sb="3" eb="5">
      <t>リュウジ</t>
    </rPh>
    <phoneticPr fontId="1"/>
  </si>
  <si>
    <t>あすかの湯</t>
    <rPh sb="4" eb="5">
      <t>ユ</t>
    </rPh>
    <phoneticPr fontId="1"/>
  </si>
  <si>
    <t>鳥取ぽかぽか温泉</t>
    <rPh sb="0" eb="2">
      <t>トットリ</t>
    </rPh>
    <rPh sb="6" eb="8">
      <t>オンセン</t>
    </rPh>
    <phoneticPr fontId="1"/>
  </si>
  <si>
    <t>江口紙工</t>
    <rPh sb="0" eb="2">
      <t>エグチ</t>
    </rPh>
    <rPh sb="2" eb="4">
      <t>シコウ</t>
    </rPh>
    <phoneticPr fontId="1"/>
  </si>
  <si>
    <t>渡辺塗料㈱</t>
    <rPh sb="0" eb="2">
      <t>ワタナベ</t>
    </rPh>
    <rPh sb="2" eb="4">
      <t>トリョウ</t>
    </rPh>
    <phoneticPr fontId="1"/>
  </si>
  <si>
    <t>日本建設工業</t>
    <rPh sb="0" eb="6">
      <t>ニホンケンセツコウギョウ</t>
    </rPh>
    <phoneticPr fontId="1"/>
  </si>
  <si>
    <t>今治ﾔﾝﾏｰ土居</t>
    <rPh sb="0" eb="2">
      <t>イマバリ</t>
    </rPh>
    <rPh sb="6" eb="8">
      <t>ドイ</t>
    </rPh>
    <phoneticPr fontId="1"/>
  </si>
  <si>
    <t>菰田ｺﾝﾆｬｸ店</t>
    <rPh sb="0" eb="2">
      <t>コモダ</t>
    </rPh>
    <rPh sb="7" eb="8">
      <t>テン</t>
    </rPh>
    <phoneticPr fontId="1"/>
  </si>
  <si>
    <t>青徳ﾒﾝﾃﾅﾝｽ</t>
    <rPh sb="0" eb="1">
      <t>セイ</t>
    </rPh>
    <rPh sb="1" eb="2">
      <t>トク</t>
    </rPh>
    <phoneticPr fontId="1"/>
  </si>
  <si>
    <t>高津紙器</t>
    <rPh sb="0" eb="2">
      <t>タカヅ</t>
    </rPh>
    <rPh sb="2" eb="4">
      <t>シキ</t>
    </rPh>
    <phoneticPr fontId="1"/>
  </si>
  <si>
    <t>佐々木紙工</t>
    <rPh sb="0" eb="3">
      <t>ササキ</t>
    </rPh>
    <rPh sb="3" eb="5">
      <t>シコウ</t>
    </rPh>
    <phoneticPr fontId="1"/>
  </si>
  <si>
    <t>三栄紙業</t>
    <rPh sb="0" eb="2">
      <t>サンエイ</t>
    </rPh>
    <rPh sb="2" eb="4">
      <t>シギョウ</t>
    </rPh>
    <phoneticPr fontId="1"/>
  </si>
  <si>
    <t>高栄製作所</t>
    <rPh sb="0" eb="1">
      <t>タカ</t>
    </rPh>
    <rPh sb="1" eb="2">
      <t>エイ</t>
    </rPh>
    <rPh sb="2" eb="5">
      <t>セイサクショ</t>
    </rPh>
    <phoneticPr fontId="1"/>
  </si>
  <si>
    <t>三共ｵｰﾄｻｰﾋﾞｽ第二工場</t>
    <rPh sb="0" eb="2">
      <t>サンキョウ</t>
    </rPh>
    <rPh sb="10" eb="12">
      <t>ダイニ</t>
    </rPh>
    <rPh sb="12" eb="14">
      <t>コウジョウ</t>
    </rPh>
    <phoneticPr fontId="1"/>
  </si>
  <si>
    <t>鈴木電機</t>
    <rPh sb="0" eb="2">
      <t>スズキ</t>
    </rPh>
    <rPh sb="2" eb="4">
      <t>デンキ</t>
    </rPh>
    <phoneticPr fontId="1"/>
  </si>
  <si>
    <t>常裕ﾊﾟﾙﾌﾟ波崎工場</t>
    <rPh sb="0" eb="1">
      <t>ジョウ</t>
    </rPh>
    <rPh sb="1" eb="2">
      <t>ユウ</t>
    </rPh>
    <rPh sb="7" eb="8">
      <t>ハ</t>
    </rPh>
    <rPh sb="8" eb="9">
      <t>ザキ</t>
    </rPh>
    <rPh sb="9" eb="11">
      <t>コウジョウ</t>
    </rPh>
    <phoneticPr fontId="1"/>
  </si>
  <si>
    <t>滝田工業</t>
    <rPh sb="0" eb="2">
      <t>タキダ</t>
    </rPh>
    <rPh sb="2" eb="4">
      <t>コウギョウ</t>
    </rPh>
    <phoneticPr fontId="1"/>
  </si>
  <si>
    <t>近藤ﾘﾒｲｸ</t>
    <rPh sb="0" eb="2">
      <t>コンドウ</t>
    </rPh>
    <phoneticPr fontId="1"/>
  </si>
  <si>
    <t>瑞兆</t>
    <rPh sb="0" eb="2">
      <t>ズイチョウ</t>
    </rPh>
    <phoneticPr fontId="1"/>
  </si>
  <si>
    <t>㈱ｽｽﾞｷ自販愛媛</t>
    <rPh sb="5" eb="7">
      <t>ジハン</t>
    </rPh>
    <rPh sb="7" eb="9">
      <t>エヒメ</t>
    </rPh>
    <phoneticPr fontId="1"/>
  </si>
  <si>
    <t>四国ｸｵﾘﾃｨｰ</t>
    <rPh sb="0" eb="2">
      <t>シコク</t>
    </rPh>
    <phoneticPr fontId="1"/>
  </si>
  <si>
    <t>松野工業所</t>
    <rPh sb="0" eb="2">
      <t>マツノ</t>
    </rPh>
    <rPh sb="2" eb="5">
      <t>コウギョウショ</t>
    </rPh>
    <phoneticPr fontId="1"/>
  </si>
  <si>
    <t>㈲永易電機</t>
    <rPh sb="1" eb="3">
      <t>ナガヤス</t>
    </rPh>
    <rPh sb="3" eb="5">
      <t>デンキ</t>
    </rPh>
    <phoneticPr fontId="1"/>
  </si>
  <si>
    <t>杉野製紙</t>
    <rPh sb="0" eb="2">
      <t>スギノ</t>
    </rPh>
    <rPh sb="2" eb="4">
      <t>セイシ</t>
    </rPh>
    <phoneticPr fontId="1"/>
  </si>
  <si>
    <t>渡辺工業</t>
    <rPh sb="0" eb="2">
      <t>ワタナベ</t>
    </rPh>
    <rPh sb="2" eb="4">
      <t>コウギョウ</t>
    </rPh>
    <phoneticPr fontId="1"/>
  </si>
  <si>
    <t>武村正博</t>
    <rPh sb="0" eb="2">
      <t>タケムラ</t>
    </rPh>
    <rPh sb="2" eb="3">
      <t>マサ</t>
    </rPh>
    <rPh sb="3" eb="4">
      <t>ハク</t>
    </rPh>
    <phoneticPr fontId="1"/>
  </si>
  <si>
    <t>武田(三浦工業)</t>
    <rPh sb="0" eb="2">
      <t>タケダ</t>
    </rPh>
    <rPh sb="3" eb="5">
      <t>ミウラ</t>
    </rPh>
    <rPh sb="5" eb="7">
      <t>コウギョウ</t>
    </rPh>
    <phoneticPr fontId="1"/>
  </si>
  <si>
    <t>東予電機工業所</t>
    <rPh sb="0" eb="2">
      <t>トウヨ</t>
    </rPh>
    <rPh sb="2" eb="4">
      <t>デンキ</t>
    </rPh>
    <rPh sb="4" eb="6">
      <t>コウギョウ</t>
    </rPh>
    <rPh sb="6" eb="7">
      <t>ショ</t>
    </rPh>
    <phoneticPr fontId="1"/>
  </si>
  <si>
    <t>司商店</t>
    <rPh sb="0" eb="1">
      <t>ツカサ</t>
    </rPh>
    <rPh sb="1" eb="3">
      <t>ショウテン</t>
    </rPh>
    <phoneticPr fontId="1"/>
  </si>
  <si>
    <t>中村両栄舎印刷</t>
    <rPh sb="0" eb="2">
      <t>ナカムラ</t>
    </rPh>
    <rPh sb="2" eb="3">
      <t>リョウ</t>
    </rPh>
    <rPh sb="3" eb="4">
      <t>エイ</t>
    </rPh>
    <rPh sb="4" eb="5">
      <t>シャ</t>
    </rPh>
    <rPh sb="5" eb="7">
      <t>インサツ</t>
    </rPh>
    <phoneticPr fontId="1"/>
  </si>
  <si>
    <t>小林製薬</t>
    <rPh sb="0" eb="2">
      <t>コバヤシ</t>
    </rPh>
    <rPh sb="2" eb="4">
      <t>セイヤク</t>
    </rPh>
    <phoneticPr fontId="1"/>
  </si>
  <si>
    <t>ﾍﾟｶﾞｻｽ特殊</t>
    <rPh sb="6" eb="8">
      <t>トクシュ</t>
    </rPh>
    <phoneticPr fontId="1"/>
  </si>
  <si>
    <t>三島給食ｾﾝﾀｰ</t>
    <rPh sb="0" eb="2">
      <t>ミシマ</t>
    </rPh>
    <rPh sb="2" eb="4">
      <t>キュウショク</t>
    </rPh>
    <phoneticPr fontId="1"/>
  </si>
  <si>
    <t>邁進ｴﾝﾀｰﾌﾞﾗｲｽﾞ</t>
    <rPh sb="0" eb="2">
      <t>マイシン</t>
    </rPh>
    <phoneticPr fontId="1"/>
  </si>
  <si>
    <t>ﾘﾌﾞﾄﾞｩｺｰﾎﾟﾚｰｼｮﾝ三野</t>
    <rPh sb="15" eb="17">
      <t>ミノ</t>
    </rPh>
    <phoneticPr fontId="1"/>
  </si>
  <si>
    <t>冨士印刷</t>
    <rPh sb="0" eb="2">
      <t>フジ</t>
    </rPh>
    <rPh sb="2" eb="4">
      <t>インサツ</t>
    </rPh>
    <phoneticPr fontId="1"/>
  </si>
  <si>
    <t>飛航丸</t>
    <rPh sb="0" eb="1">
      <t>ト</t>
    </rPh>
    <rPh sb="1" eb="2">
      <t>コウ</t>
    </rPh>
    <rPh sb="2" eb="3">
      <t>マル</t>
    </rPh>
    <phoneticPr fontId="1"/>
  </si>
  <si>
    <t>平田電機</t>
    <rPh sb="0" eb="2">
      <t>ヒラタ</t>
    </rPh>
    <rPh sb="2" eb="4">
      <t>デンキ</t>
    </rPh>
    <phoneticPr fontId="1"/>
  </si>
  <si>
    <t>寿重機</t>
    <rPh sb="0" eb="1">
      <t>コトブキ</t>
    </rPh>
    <rPh sb="1" eb="3">
      <t>ジュウキ</t>
    </rPh>
    <phoneticPr fontId="1"/>
  </si>
  <si>
    <t>ｴﾋﾞｽ紙料㈱</t>
    <rPh sb="4" eb="5">
      <t>シ</t>
    </rPh>
    <rPh sb="5" eb="6">
      <t>リョウ</t>
    </rPh>
    <phoneticPr fontId="1"/>
  </si>
  <si>
    <t>ｶﾐ加工</t>
    <rPh sb="2" eb="4">
      <t>カコウ</t>
    </rPh>
    <phoneticPr fontId="1"/>
  </si>
  <si>
    <t>四国紙管</t>
    <rPh sb="0" eb="2">
      <t>シコク</t>
    </rPh>
    <rPh sb="2" eb="4">
      <t>シカン</t>
    </rPh>
    <phoneticPr fontId="1"/>
  </si>
  <si>
    <t>篠永自動車</t>
    <rPh sb="0" eb="2">
      <t>シノナガ</t>
    </rPh>
    <rPh sb="2" eb="5">
      <t>ジドウシャ</t>
    </rPh>
    <phoneticPr fontId="1"/>
  </si>
  <si>
    <t>藤村工具</t>
    <rPh sb="0" eb="2">
      <t>フジムラ</t>
    </rPh>
    <rPh sb="2" eb="4">
      <t>コウグ</t>
    </rPh>
    <phoneticPr fontId="1"/>
  </si>
  <si>
    <t>山元興業</t>
    <rPh sb="0" eb="2">
      <t>ヤマモト</t>
    </rPh>
    <rPh sb="2" eb="4">
      <t>コウギョウ</t>
    </rPh>
    <phoneticPr fontId="1"/>
  </si>
  <si>
    <t>三好ﾏﾘﾝﾓｰﾀｰｽﾞ</t>
    <rPh sb="0" eb="2">
      <t>ミヨシ</t>
    </rPh>
    <phoneticPr fontId="1"/>
  </si>
  <si>
    <t>宮崎産業</t>
    <rPh sb="0" eb="2">
      <t>ミヤザキ</t>
    </rPh>
    <rPh sb="2" eb="4">
      <t>サンギョウ</t>
    </rPh>
    <phoneticPr fontId="1"/>
  </si>
  <si>
    <t>三宅商事</t>
    <rPh sb="0" eb="2">
      <t>ミヤケ</t>
    </rPh>
    <rPh sb="2" eb="4">
      <t>ショウジ</t>
    </rPh>
    <phoneticPr fontId="1"/>
  </si>
  <si>
    <t>ﾌﾚｯｼｭﾃﾞﾎﾟ宇多津</t>
    <rPh sb="9" eb="12">
      <t>ウタヅ</t>
    </rPh>
    <phoneticPr fontId="1"/>
  </si>
  <si>
    <t>進藤忠太郎商店</t>
    <rPh sb="0" eb="2">
      <t>シンドウ</t>
    </rPh>
    <rPh sb="2" eb="5">
      <t>チュウタロウ</t>
    </rPh>
    <rPh sb="5" eb="7">
      <t>ショウテン</t>
    </rPh>
    <phoneticPr fontId="1"/>
  </si>
  <si>
    <t>三島医療ｾﾝﾀｰ</t>
    <rPh sb="0" eb="2">
      <t>ミシマ</t>
    </rPh>
    <rPh sb="2" eb="4">
      <t>イリョウ</t>
    </rPh>
    <phoneticPr fontId="1"/>
  </si>
  <si>
    <t>司電機</t>
    <rPh sb="0" eb="1">
      <t>ツカサ</t>
    </rPh>
    <rPh sb="1" eb="3">
      <t>デンキ</t>
    </rPh>
    <phoneticPr fontId="1"/>
  </si>
  <si>
    <t>三島浄化槽管理ｾﾝﾀｰ</t>
    <rPh sb="0" eb="5">
      <t>ミシマジョウカソウ</t>
    </rPh>
    <rPh sb="5" eb="7">
      <t>カンリ</t>
    </rPh>
    <phoneticPr fontId="1"/>
  </si>
  <si>
    <t>森実機工</t>
    <rPh sb="0" eb="2">
      <t>モリザネ</t>
    </rPh>
    <rPh sb="2" eb="4">
      <t>キコウ</t>
    </rPh>
    <phoneticPr fontId="1"/>
  </si>
  <si>
    <t>ﾘｿｰ封筒</t>
    <rPh sb="3" eb="5">
      <t>フウトウ</t>
    </rPh>
    <phoneticPr fontId="1"/>
  </si>
  <si>
    <t>ﾔﾏｻｷ電機</t>
    <rPh sb="4" eb="6">
      <t>デンキ</t>
    </rPh>
    <phoneticPr fontId="1"/>
  </si>
  <si>
    <t>中央ﾒﾝﾃﾅﾝｽ</t>
    <rPh sb="0" eb="2">
      <t>チュウオウ</t>
    </rPh>
    <phoneticPr fontId="1"/>
  </si>
  <si>
    <t>ﾋｶﾘ紙工</t>
    <rPh sb="3" eb="5">
      <t>シコウ</t>
    </rPh>
    <phoneticPr fontId="1"/>
  </si>
  <si>
    <t>ﾋｶﾘ紙工　ｻｶｼﾀ工場</t>
    <rPh sb="3" eb="5">
      <t>シコウ</t>
    </rPh>
    <rPh sb="10" eb="12">
      <t>コウジョウ</t>
    </rPh>
    <phoneticPr fontId="1"/>
  </si>
  <si>
    <t>五洋建設</t>
    <rPh sb="0" eb="2">
      <t>ゴヨウ</t>
    </rPh>
    <rPh sb="2" eb="4">
      <t>ケンセツ</t>
    </rPh>
    <phoneticPr fontId="1"/>
  </si>
  <si>
    <t>いわき大王製紙</t>
    <rPh sb="3" eb="5">
      <t>ダイオウ</t>
    </rPh>
    <rPh sb="5" eb="7">
      <t>セイシ</t>
    </rPh>
    <phoneticPr fontId="1"/>
  </si>
  <si>
    <t>ｻﾝ商会</t>
    <rPh sb="2" eb="4">
      <t>ショウカイ</t>
    </rPh>
    <phoneticPr fontId="1"/>
  </si>
  <si>
    <t>本藤組</t>
    <rPh sb="0" eb="3">
      <t>ホンドウグミ</t>
    </rPh>
    <phoneticPr fontId="1"/>
  </si>
  <si>
    <t>丸正水道工業所</t>
    <rPh sb="0" eb="2">
      <t>マルショウ</t>
    </rPh>
    <rPh sb="2" eb="4">
      <t>スイドウ</t>
    </rPh>
    <rPh sb="4" eb="7">
      <t>コウギョウショ</t>
    </rPh>
    <phoneticPr fontId="1"/>
  </si>
  <si>
    <t>大石工作所</t>
    <rPh sb="0" eb="2">
      <t>オオイシ</t>
    </rPh>
    <rPh sb="2" eb="5">
      <t>コウサクショ</t>
    </rPh>
    <phoneticPr fontId="1"/>
  </si>
  <si>
    <t>友進設備</t>
    <rPh sb="0" eb="2">
      <t>ユウシン</t>
    </rPh>
    <rPh sb="2" eb="4">
      <t>セツビ</t>
    </rPh>
    <phoneticPr fontId="1"/>
  </si>
  <si>
    <t>大青設備</t>
    <rPh sb="0" eb="1">
      <t>オオ</t>
    </rPh>
    <rPh sb="1" eb="2">
      <t>アオ</t>
    </rPh>
    <rPh sb="2" eb="4">
      <t>セツビ</t>
    </rPh>
    <phoneticPr fontId="1"/>
  </si>
  <si>
    <t>三栄工事</t>
    <rPh sb="0" eb="2">
      <t>サンエイ</t>
    </rPh>
    <rPh sb="2" eb="4">
      <t>コウジ</t>
    </rPh>
    <phoneticPr fontId="1"/>
  </si>
  <si>
    <t>ウスイ電業</t>
    <rPh sb="3" eb="5">
      <t>デンギョウ</t>
    </rPh>
    <phoneticPr fontId="1"/>
  </si>
  <si>
    <t>宇摩製紙</t>
    <rPh sb="0" eb="2">
      <t>ウマ</t>
    </rPh>
    <rPh sb="2" eb="4">
      <t>セイシ</t>
    </rPh>
    <phoneticPr fontId="1"/>
  </si>
  <si>
    <t>松健</t>
    <rPh sb="0" eb="1">
      <t>マツ</t>
    </rPh>
    <rPh sb="1" eb="2">
      <t>ケン</t>
    </rPh>
    <phoneticPr fontId="1"/>
  </si>
  <si>
    <t>亀川設備工業</t>
    <rPh sb="0" eb="2">
      <t>カメカワ</t>
    </rPh>
    <rPh sb="2" eb="4">
      <t>セツビ</t>
    </rPh>
    <rPh sb="4" eb="6">
      <t>コウギョウ</t>
    </rPh>
    <phoneticPr fontId="1"/>
  </si>
  <si>
    <t>拳栄</t>
    <rPh sb="0" eb="1">
      <t>ケン</t>
    </rPh>
    <rPh sb="1" eb="2">
      <t>エイ</t>
    </rPh>
    <phoneticPr fontId="1"/>
  </si>
  <si>
    <t>栗原工業</t>
    <rPh sb="0" eb="2">
      <t>クリハラ</t>
    </rPh>
    <rPh sb="2" eb="4">
      <t>コウギョウ</t>
    </rPh>
    <phoneticPr fontId="1"/>
  </si>
  <si>
    <t>川口金属工業</t>
    <rPh sb="0" eb="2">
      <t>カワグチ</t>
    </rPh>
    <rPh sb="2" eb="4">
      <t>キンゾク</t>
    </rPh>
    <rPh sb="4" eb="6">
      <t>コウギョウ</t>
    </rPh>
    <phoneticPr fontId="1"/>
  </si>
  <si>
    <t>四国ｴﾝｼﾞﾆｱﾘﾝｸﾞｻｰﾋﾞｽ</t>
    <rPh sb="0" eb="2">
      <t>シコク</t>
    </rPh>
    <phoneticPr fontId="1"/>
  </si>
  <si>
    <t>篠原紙工</t>
    <rPh sb="0" eb="2">
      <t>シノハラ</t>
    </rPh>
    <rPh sb="2" eb="4">
      <t>シコウ</t>
    </rPh>
    <phoneticPr fontId="1"/>
  </si>
  <si>
    <t>江南ﾗﾐﾈｰﾄ</t>
    <rPh sb="0" eb="2">
      <t>コウナン</t>
    </rPh>
    <phoneticPr fontId="1"/>
  </si>
  <si>
    <t>三洋製紙</t>
    <rPh sb="0" eb="2">
      <t>サンヨウ</t>
    </rPh>
    <rPh sb="2" eb="4">
      <t>セイシ</t>
    </rPh>
    <phoneticPr fontId="1"/>
  </si>
  <si>
    <t>ｻﾝﾖｰ食品</t>
    <rPh sb="4" eb="6">
      <t>ショクヒン</t>
    </rPh>
    <phoneticPr fontId="1"/>
  </si>
  <si>
    <t>ｻﾝﾖｰ食品㈱</t>
    <rPh sb="4" eb="6">
      <t>ショクヒン</t>
    </rPh>
    <phoneticPr fontId="1"/>
  </si>
  <si>
    <t>西日本ﾘｻｲｸﾙ</t>
    <rPh sb="0" eb="1">
      <t>ニシ</t>
    </rPh>
    <rPh sb="1" eb="3">
      <t>ニホン</t>
    </rPh>
    <phoneticPr fontId="1"/>
  </si>
  <si>
    <t>白川製紙</t>
    <rPh sb="0" eb="2">
      <t>シラカワ</t>
    </rPh>
    <rPh sb="2" eb="4">
      <t>セイシ</t>
    </rPh>
    <phoneticPr fontId="1"/>
  </si>
  <si>
    <t>四国ｹﾞｰｼﾞ</t>
    <rPh sb="0" eb="2">
      <t>シコク</t>
    </rPh>
    <phoneticPr fontId="1"/>
  </si>
  <si>
    <t>鈴木自動車</t>
    <rPh sb="0" eb="2">
      <t>スズキ</t>
    </rPh>
    <rPh sb="2" eb="5">
      <t>ジドウシャ</t>
    </rPh>
    <phoneticPr fontId="1"/>
  </si>
  <si>
    <t>誠聖工業</t>
    <rPh sb="0" eb="1">
      <t>セイ</t>
    </rPh>
    <rPh sb="1" eb="2">
      <t>セイ</t>
    </rPh>
    <rPh sb="2" eb="4">
      <t>コウギョウ</t>
    </rPh>
    <phoneticPr fontId="1"/>
  </si>
  <si>
    <t>高橋機設</t>
    <rPh sb="0" eb="2">
      <t>タカハシ</t>
    </rPh>
    <rPh sb="2" eb="4">
      <t>キセツ</t>
    </rPh>
    <phoneticPr fontId="1"/>
  </si>
  <si>
    <t>大王紙運輸</t>
    <rPh sb="0" eb="2">
      <t>ダイオウ</t>
    </rPh>
    <rPh sb="2" eb="3">
      <t>カミ</t>
    </rPh>
    <rPh sb="3" eb="5">
      <t>ウンユ</t>
    </rPh>
    <phoneticPr fontId="1"/>
  </si>
  <si>
    <t>田組興業</t>
    <rPh sb="0" eb="2">
      <t>タグミ</t>
    </rPh>
    <rPh sb="2" eb="4">
      <t>コウギョウ</t>
    </rPh>
    <phoneticPr fontId="1"/>
  </si>
  <si>
    <t>川一電設</t>
    <rPh sb="0" eb="1">
      <t>カワ</t>
    </rPh>
    <rPh sb="1" eb="2">
      <t>イチ</t>
    </rPh>
    <rPh sb="2" eb="4">
      <t>デンセツ</t>
    </rPh>
    <phoneticPr fontId="1"/>
  </si>
  <si>
    <t>猪川商店</t>
    <rPh sb="0" eb="2">
      <t>イノカワ</t>
    </rPh>
    <rPh sb="2" eb="4">
      <t>ショウテン</t>
    </rPh>
    <phoneticPr fontId="1"/>
  </si>
  <si>
    <t>福助工業ﾗﾐﾈｰﾄ3</t>
    <rPh sb="0" eb="2">
      <t>フクスケ</t>
    </rPh>
    <rPh sb="2" eb="4">
      <t>コウギョウ</t>
    </rPh>
    <phoneticPr fontId="1"/>
  </si>
  <si>
    <t>東予食品</t>
    <rPh sb="0" eb="2">
      <t>トウヨ</t>
    </rPh>
    <rPh sb="2" eb="4">
      <t>ショクヒン</t>
    </rPh>
    <phoneticPr fontId="1"/>
  </si>
  <si>
    <t>檜垣組</t>
    <rPh sb="0" eb="2">
      <t>ヒガキ</t>
    </rPh>
    <rPh sb="2" eb="3">
      <t>グミ</t>
    </rPh>
    <phoneticPr fontId="1"/>
  </si>
  <si>
    <t>㈱森研</t>
    <rPh sb="1" eb="2">
      <t>モリ</t>
    </rPh>
    <rPh sb="2" eb="3">
      <t>ケン</t>
    </rPh>
    <phoneticPr fontId="1"/>
  </si>
  <si>
    <t>飛鷹工業</t>
    <rPh sb="0" eb="2">
      <t>ヒダカ</t>
    </rPh>
    <rPh sb="2" eb="4">
      <t>コウギョウ</t>
    </rPh>
    <phoneticPr fontId="1"/>
  </si>
  <si>
    <t>田中管工</t>
    <rPh sb="0" eb="2">
      <t>タナカ</t>
    </rPh>
    <rPh sb="2" eb="3">
      <t>カン</t>
    </rPh>
    <rPh sb="3" eb="4">
      <t>コウ</t>
    </rPh>
    <phoneticPr fontId="1"/>
  </si>
  <si>
    <t>ﾀﾆｲﾜ商事</t>
    <rPh sb="4" eb="6">
      <t>ショウジ</t>
    </rPh>
    <phoneticPr fontId="1"/>
  </si>
  <si>
    <t>福田工業</t>
    <rPh sb="0" eb="2">
      <t>フクダ</t>
    </rPh>
    <rPh sb="2" eb="4">
      <t>コウギョウ</t>
    </rPh>
    <phoneticPr fontId="1"/>
  </si>
  <si>
    <t>志成機工</t>
    <rPh sb="0" eb="1">
      <t>ココロザシ</t>
    </rPh>
    <rPh sb="1" eb="2">
      <t>ナリ</t>
    </rPh>
    <rPh sb="2" eb="4">
      <t>キコウ</t>
    </rPh>
    <phoneticPr fontId="1"/>
  </si>
  <si>
    <t>三宅製作所</t>
    <rPh sb="0" eb="2">
      <t>ミヤケ</t>
    </rPh>
    <rPh sb="2" eb="5">
      <t>セイサクショ</t>
    </rPh>
    <phoneticPr fontId="1"/>
  </si>
  <si>
    <t>続木鉄工所</t>
    <rPh sb="0" eb="2">
      <t>ツズキ</t>
    </rPh>
    <rPh sb="2" eb="5">
      <t>テッコウショ</t>
    </rPh>
    <phoneticPr fontId="1"/>
  </si>
  <si>
    <t>近藤石材</t>
    <rPh sb="0" eb="4">
      <t>コンドウセキザイ</t>
    </rPh>
    <phoneticPr fontId="1"/>
  </si>
  <si>
    <t>大和設備</t>
    <rPh sb="0" eb="2">
      <t>ダイワ</t>
    </rPh>
    <rPh sb="2" eb="4">
      <t>セツビ</t>
    </rPh>
    <phoneticPr fontId="1"/>
  </si>
  <si>
    <t>匠工業</t>
    <rPh sb="0" eb="1">
      <t>タクミ</t>
    </rPh>
    <rPh sb="1" eb="3">
      <t>コウギョウ</t>
    </rPh>
    <phoneticPr fontId="1"/>
  </si>
  <si>
    <t>明和工機</t>
    <rPh sb="0" eb="2">
      <t>メイワ</t>
    </rPh>
    <rPh sb="2" eb="4">
      <t>コウキ</t>
    </rPh>
    <phoneticPr fontId="1"/>
  </si>
  <si>
    <t>丸一管工</t>
    <rPh sb="0" eb="2">
      <t>マルイチ</t>
    </rPh>
    <rPh sb="2" eb="3">
      <t>カン</t>
    </rPh>
    <rPh sb="3" eb="4">
      <t>コウ</t>
    </rPh>
    <phoneticPr fontId="1"/>
  </si>
  <si>
    <t>北辰商事熊本</t>
    <rPh sb="0" eb="2">
      <t>ホクシン</t>
    </rPh>
    <rPh sb="2" eb="4">
      <t>ショウジ</t>
    </rPh>
    <rPh sb="4" eb="6">
      <t>クマモト</t>
    </rPh>
    <phoneticPr fontId="1"/>
  </si>
  <si>
    <t>ｾｲﾌﾞ新居浜</t>
    <rPh sb="4" eb="7">
      <t>ニイハマ</t>
    </rPh>
    <phoneticPr fontId="1"/>
  </si>
  <si>
    <t>環美興業㈱</t>
    <rPh sb="0" eb="1">
      <t>カン</t>
    </rPh>
    <rPh sb="1" eb="2">
      <t>ビ</t>
    </rPh>
    <rPh sb="2" eb="4">
      <t>コウギョウ</t>
    </rPh>
    <phoneticPr fontId="1"/>
  </si>
  <si>
    <t>ﾛｼﾞﾈｸｽﾄ四国</t>
    <rPh sb="7" eb="9">
      <t>シコク</t>
    </rPh>
    <phoneticPr fontId="1"/>
  </si>
  <si>
    <t>真互工務店</t>
    <rPh sb="0" eb="1">
      <t>シン</t>
    </rPh>
    <rPh sb="1" eb="2">
      <t>ゴ</t>
    </rPh>
    <rPh sb="2" eb="5">
      <t>コウムテン</t>
    </rPh>
    <phoneticPr fontId="1"/>
  </si>
  <si>
    <t>ﾄｽﾃﾑ住宅研究所</t>
    <rPh sb="4" eb="6">
      <t>ジュウタク</t>
    </rPh>
    <rPh sb="6" eb="8">
      <t>ケンキュウ</t>
    </rPh>
    <rPh sb="8" eb="9">
      <t>ショ</t>
    </rPh>
    <phoneticPr fontId="1"/>
  </si>
  <si>
    <t>高橋産業</t>
    <rPh sb="0" eb="2">
      <t>タカハシ</t>
    </rPh>
    <rPh sb="2" eb="4">
      <t>サンギョウ</t>
    </rPh>
    <phoneticPr fontId="1"/>
  </si>
  <si>
    <t>大王製紙消費生活協同</t>
    <rPh sb="0" eb="2">
      <t>ダイオウ</t>
    </rPh>
    <rPh sb="2" eb="4">
      <t>セイシ</t>
    </rPh>
    <rPh sb="4" eb="6">
      <t>ショウヒ</t>
    </rPh>
    <rPh sb="6" eb="8">
      <t>セイカツ</t>
    </rPh>
    <rPh sb="8" eb="10">
      <t>キョウドウ</t>
    </rPh>
    <phoneticPr fontId="1"/>
  </si>
  <si>
    <t>九北興産</t>
    <rPh sb="0" eb="1">
      <t>キュウ</t>
    </rPh>
    <rPh sb="1" eb="2">
      <t>キタ</t>
    </rPh>
    <rPh sb="2" eb="4">
      <t>コウサン</t>
    </rPh>
    <phoneticPr fontId="1"/>
  </si>
  <si>
    <t>㈲藤倉</t>
    <rPh sb="1" eb="3">
      <t>フジクラ</t>
    </rPh>
    <phoneticPr fontId="1"/>
  </si>
  <si>
    <t>近藤建設工業</t>
    <rPh sb="0" eb="2">
      <t>コンドウ</t>
    </rPh>
    <rPh sb="2" eb="4">
      <t>ケンセツ</t>
    </rPh>
    <rPh sb="4" eb="6">
      <t>コウギョウ</t>
    </rPh>
    <phoneticPr fontId="1"/>
  </si>
  <si>
    <t>ﾐﾔｹ自動車</t>
    <rPh sb="3" eb="6">
      <t>ジドウシャ</t>
    </rPh>
    <phoneticPr fontId="1"/>
  </si>
  <si>
    <t>受川電機</t>
    <rPh sb="0" eb="2">
      <t>ウケガワ</t>
    </rPh>
    <rPh sb="2" eb="4">
      <t>デンキ</t>
    </rPh>
    <phoneticPr fontId="1"/>
  </si>
  <si>
    <t>森実土建</t>
    <rPh sb="0" eb="2">
      <t>モリザネ</t>
    </rPh>
    <rPh sb="2" eb="4">
      <t>ドケン</t>
    </rPh>
    <phoneticPr fontId="1"/>
  </si>
  <si>
    <t>みすまる加工</t>
    <rPh sb="4" eb="6">
      <t>カコウ</t>
    </rPh>
    <phoneticPr fontId="1"/>
  </si>
  <si>
    <t>ｴﾙﾓｱ寒川工場</t>
    <rPh sb="4" eb="6">
      <t>サンガワ</t>
    </rPh>
    <rPh sb="6" eb="8">
      <t>コウジョウ</t>
    </rPh>
    <phoneticPr fontId="1"/>
  </si>
  <si>
    <t>香川ﾀﾞﾝｵｰ</t>
    <rPh sb="0" eb="2">
      <t>カガワ</t>
    </rPh>
    <phoneticPr fontId="1"/>
  </si>
  <si>
    <t>ﾗｲﾌ設備</t>
    <rPh sb="3" eb="5">
      <t>セツビ</t>
    </rPh>
    <phoneticPr fontId="1"/>
  </si>
  <si>
    <t>丹野工業㈱</t>
    <rPh sb="0" eb="2">
      <t>タンノ</t>
    </rPh>
    <rPh sb="2" eb="4">
      <t>コウギョウ</t>
    </rPh>
    <phoneticPr fontId="1"/>
  </si>
  <si>
    <t>高橋工作所</t>
    <rPh sb="0" eb="2">
      <t>タカハシ</t>
    </rPh>
    <rPh sb="2" eb="5">
      <t>コウサクショ</t>
    </rPh>
    <phoneticPr fontId="1"/>
  </si>
  <si>
    <t>丸住ﾗｲﾝ</t>
    <rPh sb="0" eb="2">
      <t>マルスミ</t>
    </rPh>
    <phoneticPr fontId="1"/>
  </si>
  <si>
    <t>大和紙工</t>
    <rPh sb="0" eb="2">
      <t>ダイワ</t>
    </rPh>
    <rPh sb="2" eb="4">
      <t>シコウ</t>
    </rPh>
    <phoneticPr fontId="1"/>
  </si>
  <si>
    <t>協和紙工</t>
    <rPh sb="0" eb="2">
      <t>キョウワ</t>
    </rPh>
    <rPh sb="2" eb="4">
      <t>シコウ</t>
    </rPh>
    <phoneticPr fontId="1"/>
  </si>
  <si>
    <t>ﾘﾌﾞﾄﾞｩｺｰﾎﾟﾚｰｼｮﾝ新居浜</t>
    <rPh sb="15" eb="18">
      <t>ニイハマ</t>
    </rPh>
    <phoneticPr fontId="1"/>
  </si>
  <si>
    <t>ﾄｰﾀﾙ輸送</t>
    <rPh sb="4" eb="6">
      <t>ユソウ</t>
    </rPh>
    <phoneticPr fontId="1"/>
  </si>
  <si>
    <t>赤松工業</t>
    <rPh sb="0" eb="2">
      <t>アカマツ</t>
    </rPh>
    <rPh sb="2" eb="4">
      <t>コウギョウ</t>
    </rPh>
    <phoneticPr fontId="1"/>
  </si>
  <si>
    <t>信和電工</t>
    <rPh sb="0" eb="2">
      <t>シンワ</t>
    </rPh>
    <rPh sb="2" eb="4">
      <t>デンコウ</t>
    </rPh>
    <phoneticPr fontId="1"/>
  </si>
  <si>
    <t>前谷紙工業</t>
    <rPh sb="0" eb="2">
      <t>マエタニ</t>
    </rPh>
    <rPh sb="2" eb="3">
      <t>カミ</t>
    </rPh>
    <rPh sb="3" eb="5">
      <t>コウギョウ</t>
    </rPh>
    <phoneticPr fontId="1"/>
  </si>
  <si>
    <t>日成商会</t>
    <rPh sb="0" eb="2">
      <t>ニッセイ</t>
    </rPh>
    <rPh sb="2" eb="4">
      <t>ショウカイ</t>
    </rPh>
    <phoneticPr fontId="1"/>
  </si>
  <si>
    <t>鈴村産業</t>
    <rPh sb="0" eb="2">
      <t>スズムラ</t>
    </rPh>
    <rPh sb="2" eb="4">
      <t>サンギョウ</t>
    </rPh>
    <phoneticPr fontId="1"/>
  </si>
  <si>
    <t>高橋工務店</t>
    <rPh sb="0" eb="2">
      <t>タカハシ</t>
    </rPh>
    <rPh sb="2" eb="5">
      <t>コウムテン</t>
    </rPh>
    <phoneticPr fontId="1"/>
  </si>
  <si>
    <t>星川電設</t>
    <rPh sb="0" eb="2">
      <t>ホシカワ</t>
    </rPh>
    <rPh sb="2" eb="4">
      <t>デンセツ</t>
    </rPh>
    <phoneticPr fontId="1"/>
  </si>
  <si>
    <t>大西建設</t>
    <rPh sb="0" eb="2">
      <t>オオニシ</t>
    </rPh>
    <rPh sb="2" eb="4">
      <t>ケンセツ</t>
    </rPh>
    <phoneticPr fontId="1"/>
  </si>
  <si>
    <t>昭和電業</t>
    <rPh sb="0" eb="2">
      <t>ショウワ</t>
    </rPh>
    <rPh sb="2" eb="4">
      <t>デンギョウ</t>
    </rPh>
    <phoneticPr fontId="1"/>
  </si>
  <si>
    <t>日新化学研究所</t>
    <rPh sb="0" eb="2">
      <t>ニッシン</t>
    </rPh>
    <rPh sb="2" eb="4">
      <t>カガク</t>
    </rPh>
    <rPh sb="4" eb="7">
      <t>ケンキュウショ</t>
    </rPh>
    <phoneticPr fontId="1"/>
  </si>
  <si>
    <t>三洋電装</t>
    <rPh sb="0" eb="2">
      <t>サンヨウ</t>
    </rPh>
    <rPh sb="2" eb="4">
      <t>デンソウ</t>
    </rPh>
    <phoneticPr fontId="1"/>
  </si>
  <si>
    <t>三共ｴﾝｼﾞ　検収</t>
    <rPh sb="0" eb="2">
      <t>サンキョウ</t>
    </rPh>
    <rPh sb="7" eb="9">
      <t>ケンシュウ</t>
    </rPh>
    <phoneticPr fontId="1"/>
  </si>
  <si>
    <t>㈱三栄</t>
    <rPh sb="1" eb="2">
      <t>サン</t>
    </rPh>
    <rPh sb="2" eb="3">
      <t>エイ</t>
    </rPh>
    <phoneticPr fontId="1"/>
  </si>
  <si>
    <t>日本管財環境ｻｰﾋﾞｽ</t>
    <rPh sb="0" eb="4">
      <t>ニホンカンザイ</t>
    </rPh>
    <rPh sb="4" eb="6">
      <t>カンキョウ</t>
    </rPh>
    <phoneticPr fontId="1"/>
  </si>
  <si>
    <t>ｸﾞﾗﾝﾌｫｰﾚ石松</t>
    <rPh sb="8" eb="10">
      <t>イシマツ</t>
    </rPh>
    <phoneticPr fontId="1"/>
  </si>
  <si>
    <t>太平紙器</t>
    <rPh sb="0" eb="2">
      <t>タイヘイ</t>
    </rPh>
    <rPh sb="2" eb="4">
      <t>シキ</t>
    </rPh>
    <phoneticPr fontId="1"/>
  </si>
  <si>
    <t>受川建設工業㈱</t>
    <rPh sb="0" eb="2">
      <t>ウケガワ</t>
    </rPh>
    <rPh sb="2" eb="4">
      <t>ケンセツ</t>
    </rPh>
    <rPh sb="4" eb="6">
      <t>コウギョウ</t>
    </rPh>
    <phoneticPr fontId="1"/>
  </si>
  <si>
    <t>池田福助</t>
    <rPh sb="0" eb="2">
      <t>イケダ</t>
    </rPh>
    <rPh sb="2" eb="4">
      <t>フクスケ</t>
    </rPh>
    <phoneticPr fontId="1"/>
  </si>
  <si>
    <t>ｲﾄﾏﾝ住吉</t>
    <rPh sb="4" eb="6">
      <t>スミヨシ</t>
    </rPh>
    <phoneticPr fontId="1"/>
  </si>
  <si>
    <t>梶原溶接工業</t>
    <rPh sb="0" eb="2">
      <t>カジハラ</t>
    </rPh>
    <rPh sb="2" eb="4">
      <t>ヨウセツ</t>
    </rPh>
    <rPh sb="4" eb="6">
      <t>コウギョウ</t>
    </rPh>
    <phoneticPr fontId="1"/>
  </si>
  <si>
    <t>ｻﾝｴｲ電気工事</t>
    <rPh sb="4" eb="6">
      <t>デンキ</t>
    </rPh>
    <rPh sb="6" eb="8">
      <t>コウジ</t>
    </rPh>
    <phoneticPr fontId="1"/>
  </si>
  <si>
    <t>㈱四電工</t>
    <rPh sb="1" eb="4">
      <t>ヨンデンコウ</t>
    </rPh>
    <phoneticPr fontId="1"/>
  </si>
  <si>
    <t>星川設備</t>
    <rPh sb="0" eb="2">
      <t>ホシカワ</t>
    </rPh>
    <rPh sb="2" eb="4">
      <t>セツビ</t>
    </rPh>
    <phoneticPr fontId="1"/>
  </si>
  <si>
    <t>小坂工業</t>
    <rPh sb="0" eb="2">
      <t>コサカ</t>
    </rPh>
    <rPh sb="2" eb="4">
      <t>コウギョウ</t>
    </rPh>
    <phoneticPr fontId="1"/>
  </si>
  <si>
    <t>秦商事</t>
    <rPh sb="0" eb="1">
      <t>ハタ</t>
    </rPh>
    <rPh sb="1" eb="3">
      <t>ショウジ</t>
    </rPh>
    <phoneticPr fontId="1"/>
  </si>
  <si>
    <t>井原組</t>
    <rPh sb="0" eb="2">
      <t>イハラ</t>
    </rPh>
    <rPh sb="2" eb="3">
      <t>クミ</t>
    </rPh>
    <phoneticPr fontId="1"/>
  </si>
  <si>
    <t>ﾘﾝﾃｯｸ(検収)</t>
    <rPh sb="6" eb="8">
      <t>ケンシュウ</t>
    </rPh>
    <phoneticPr fontId="1"/>
  </si>
  <si>
    <t>愛媛尾藤ｺﾝｸﾘｰﾄ</t>
    <rPh sb="0" eb="2">
      <t>エヒメ</t>
    </rPh>
    <rPh sb="2" eb="4">
      <t>ビトウ</t>
    </rPh>
    <phoneticPr fontId="1"/>
  </si>
  <si>
    <t>大ﾊﾟ作業</t>
    <rPh sb="0" eb="1">
      <t>ダイ</t>
    </rPh>
    <rPh sb="3" eb="5">
      <t>サギョウ</t>
    </rPh>
    <phoneticPr fontId="1"/>
  </si>
  <si>
    <t>瀬戸内建機ﾘｰｽ</t>
    <rPh sb="0" eb="3">
      <t>セトウチ</t>
    </rPh>
    <rPh sb="3" eb="5">
      <t>ケンキ</t>
    </rPh>
    <phoneticPr fontId="1"/>
  </si>
  <si>
    <t>ﾃｯｸ愛和</t>
    <rPh sb="3" eb="5">
      <t>アイワ</t>
    </rPh>
    <phoneticPr fontId="1"/>
  </si>
  <si>
    <t>野田組</t>
    <rPh sb="0" eb="3">
      <t>ノダグミ</t>
    </rPh>
    <phoneticPr fontId="1"/>
  </si>
  <si>
    <t>北辰商事</t>
    <rPh sb="0" eb="4">
      <t>ホクシンショウジ</t>
    </rPh>
    <phoneticPr fontId="1"/>
  </si>
  <si>
    <t>丸一興業</t>
    <rPh sb="0" eb="2">
      <t>マルイチ</t>
    </rPh>
    <rPh sb="2" eb="4">
      <t>コウギョウ</t>
    </rPh>
    <phoneticPr fontId="1"/>
  </si>
  <si>
    <t>真鍋産業㈱</t>
    <rPh sb="0" eb="2">
      <t>マナベ</t>
    </rPh>
    <rPh sb="2" eb="4">
      <t>サンギョウ</t>
    </rPh>
    <phoneticPr fontId="1"/>
  </si>
  <si>
    <t>讃州電気工事</t>
    <rPh sb="0" eb="2">
      <t>サンシュウ</t>
    </rPh>
    <rPh sb="2" eb="4">
      <t>デンキ</t>
    </rPh>
    <rPh sb="4" eb="6">
      <t>コウジ</t>
    </rPh>
    <phoneticPr fontId="1"/>
  </si>
  <si>
    <t>石川ﾃﾞﾝﾄ商会</t>
    <rPh sb="0" eb="2">
      <t>イシカワ</t>
    </rPh>
    <rPh sb="6" eb="8">
      <t>ショウカイ</t>
    </rPh>
    <phoneticPr fontId="1"/>
  </si>
  <si>
    <t>青木蒲鉾店</t>
    <rPh sb="0" eb="2">
      <t>アオキ</t>
    </rPh>
    <rPh sb="2" eb="4">
      <t>カマボコ</t>
    </rPh>
    <rPh sb="4" eb="5">
      <t>テン</t>
    </rPh>
    <phoneticPr fontId="1"/>
  </si>
  <si>
    <t>加地技研</t>
    <rPh sb="0" eb="2">
      <t>カジ</t>
    </rPh>
    <rPh sb="2" eb="4">
      <t>ギケン</t>
    </rPh>
    <phoneticPr fontId="1"/>
  </si>
  <si>
    <t>ﾕﾆﾁｬｰﾑ国光N㈱ｳｪｯﾄ</t>
    <rPh sb="6" eb="8">
      <t>コッコウ</t>
    </rPh>
    <phoneticPr fontId="1"/>
  </si>
  <si>
    <t>ﾕﾆﾁｬｰﾑ国光N㈱川之江</t>
    <rPh sb="6" eb="8">
      <t>コッコウ</t>
    </rPh>
    <rPh sb="10" eb="13">
      <t>カワノエ</t>
    </rPh>
    <phoneticPr fontId="1"/>
  </si>
  <si>
    <t>豊岡農場</t>
    <rPh sb="0" eb="2">
      <t>トヨオカ</t>
    </rPh>
    <rPh sb="2" eb="4">
      <t>ノウジョウ</t>
    </rPh>
    <phoneticPr fontId="1"/>
  </si>
  <si>
    <t>ﾃｰﾌﾞﾙﾏｰｸ綾上</t>
    <rPh sb="8" eb="9">
      <t>アヤ</t>
    </rPh>
    <rPh sb="9" eb="10">
      <t>ウエ</t>
    </rPh>
    <phoneticPr fontId="1"/>
  </si>
  <si>
    <t>南自動車</t>
    <rPh sb="0" eb="1">
      <t>ミナミ</t>
    </rPh>
    <rPh sb="1" eb="4">
      <t>ジドウシャ</t>
    </rPh>
    <phoneticPr fontId="1"/>
  </si>
  <si>
    <t>三好石油店</t>
    <rPh sb="0" eb="2">
      <t>ミヨシ</t>
    </rPh>
    <rPh sb="2" eb="4">
      <t>セキユ</t>
    </rPh>
    <rPh sb="4" eb="5">
      <t>テン</t>
    </rPh>
    <phoneticPr fontId="1"/>
  </si>
  <si>
    <t>ｶﾐ商事　寒川</t>
    <rPh sb="2" eb="4">
      <t>ショウジ</t>
    </rPh>
    <rPh sb="5" eb="7">
      <t>サンガワ</t>
    </rPh>
    <phoneticPr fontId="1"/>
  </si>
  <si>
    <t>ｶﾐ商事　三島</t>
    <rPh sb="2" eb="4">
      <t>ショウジ</t>
    </rPh>
    <rPh sb="5" eb="7">
      <t>ミシマ</t>
    </rPh>
    <phoneticPr fontId="1"/>
  </si>
  <si>
    <t>和田電機ｻｰﾋﾞｽ</t>
    <rPh sb="0" eb="2">
      <t>ワダ</t>
    </rPh>
    <rPh sb="2" eb="4">
      <t>デンキ</t>
    </rPh>
    <phoneticPr fontId="1"/>
  </si>
  <si>
    <t>兵庫製紙㈱</t>
    <rPh sb="0" eb="2">
      <t>ヒョウゴ</t>
    </rPh>
    <rPh sb="2" eb="4">
      <t>セイシ</t>
    </rPh>
    <phoneticPr fontId="1"/>
  </si>
  <si>
    <t>今治ﾔﾝﾏｰ</t>
    <rPh sb="0" eb="2">
      <t>イマバリ</t>
    </rPh>
    <phoneticPr fontId="1"/>
  </si>
  <si>
    <t>ﾃｰﾌﾞﾙﾏｰｸ山本</t>
    <rPh sb="8" eb="10">
      <t>ヤマモト</t>
    </rPh>
    <phoneticPr fontId="1"/>
  </si>
  <si>
    <t>川之江電設</t>
    <rPh sb="0" eb="3">
      <t>カワノエ</t>
    </rPh>
    <rPh sb="3" eb="5">
      <t>デンセツ</t>
    </rPh>
    <phoneticPr fontId="1"/>
  </si>
  <si>
    <t>合田鉄工</t>
    <rPh sb="0" eb="2">
      <t>ゴウダ</t>
    </rPh>
    <rPh sb="2" eb="4">
      <t>テッコウ</t>
    </rPh>
    <phoneticPr fontId="1"/>
  </si>
  <si>
    <t>やっこ屋㈲</t>
    <rPh sb="3" eb="4">
      <t>ヤ</t>
    </rPh>
    <phoneticPr fontId="1"/>
  </si>
  <si>
    <t>水ing･井原</t>
    <rPh sb="0" eb="1">
      <t>ミズ</t>
    </rPh>
    <rPh sb="5" eb="7">
      <t>イハラ</t>
    </rPh>
    <phoneticPr fontId="1"/>
  </si>
  <si>
    <t>ﾘﾌﾞﾄﾞｩｺｰﾎﾟﾚｰｼｮﾝ本社</t>
    <rPh sb="15" eb="17">
      <t>ホンシャ</t>
    </rPh>
    <phoneticPr fontId="1"/>
  </si>
  <si>
    <t>大西工業㈱</t>
    <rPh sb="0" eb="2">
      <t>オオニシ</t>
    </rPh>
    <rPh sb="2" eb="4">
      <t>コウギョウ</t>
    </rPh>
    <phoneticPr fontId="1"/>
  </si>
  <si>
    <t>大森商機</t>
    <rPh sb="0" eb="2">
      <t>オオモリ</t>
    </rPh>
    <rPh sb="2" eb="4">
      <t>ショウキ</t>
    </rPh>
    <phoneticPr fontId="1"/>
  </si>
  <si>
    <t>㈱庄司商店</t>
    <rPh sb="1" eb="3">
      <t>ショウジ</t>
    </rPh>
    <rPh sb="3" eb="5">
      <t>ショウテン</t>
    </rPh>
    <phoneticPr fontId="1"/>
  </si>
  <si>
    <t>福助紙製品</t>
    <rPh sb="0" eb="2">
      <t>フクスケ</t>
    </rPh>
    <rPh sb="2" eb="3">
      <t>カミ</t>
    </rPh>
    <rPh sb="3" eb="5">
      <t>セイヒン</t>
    </rPh>
    <phoneticPr fontId="1"/>
  </si>
  <si>
    <t>ﾅｶﾑﾗ工業</t>
    <rPh sb="4" eb="6">
      <t>コウギョウ</t>
    </rPh>
    <phoneticPr fontId="1"/>
  </si>
  <si>
    <t>和廣技研</t>
    <rPh sb="0" eb="1">
      <t>ワ</t>
    </rPh>
    <rPh sb="1" eb="2">
      <t>ヒロ</t>
    </rPh>
    <rPh sb="2" eb="4">
      <t>ギケン</t>
    </rPh>
    <phoneticPr fontId="1"/>
  </si>
  <si>
    <t>渡辺商会</t>
    <rPh sb="0" eb="2">
      <t>ワタナベ</t>
    </rPh>
    <rPh sb="2" eb="4">
      <t>ショウカイ</t>
    </rPh>
    <phoneticPr fontId="1"/>
  </si>
  <si>
    <t>ﾕﾆﾁｬｰﾑ国光N豊浜</t>
    <rPh sb="6" eb="8">
      <t>コッコウ</t>
    </rPh>
    <rPh sb="9" eb="11">
      <t>トヨハマ</t>
    </rPh>
    <phoneticPr fontId="1"/>
  </si>
  <si>
    <t>ﾕﾆﾁｬｰﾑﾌﾟﾛﾀﾞｸﾂ豊浜</t>
    <rPh sb="13" eb="15">
      <t>トヨハマ</t>
    </rPh>
    <phoneticPr fontId="1"/>
  </si>
  <si>
    <t>ﾕﾆﾁｬｰﾑ中央1</t>
    <rPh sb="6" eb="8">
      <t>チュウオウ</t>
    </rPh>
    <phoneticPr fontId="1"/>
  </si>
  <si>
    <t>福助工業㈱ﾗﾐﾈ</t>
    <rPh sb="0" eb="2">
      <t>フクスケ</t>
    </rPh>
    <rPh sb="2" eb="4">
      <t>コウギョウ</t>
    </rPh>
    <phoneticPr fontId="1"/>
  </si>
  <si>
    <t>川之江製紙</t>
    <rPh sb="0" eb="3">
      <t>カワノエ</t>
    </rPh>
    <rPh sb="3" eb="5">
      <t>セイシ</t>
    </rPh>
    <phoneticPr fontId="1"/>
  </si>
  <si>
    <t>春日工業</t>
    <rPh sb="0" eb="2">
      <t>カスガ</t>
    </rPh>
    <rPh sb="2" eb="4">
      <t>コウギョウ</t>
    </rPh>
    <phoneticPr fontId="1"/>
  </si>
  <si>
    <t>ﾕﾆﾁｬｰﾑ中央2</t>
    <rPh sb="6" eb="8">
      <t>チュウオウ</t>
    </rPh>
    <phoneticPr fontId="1"/>
  </si>
  <si>
    <t>日愛ﾃｸﾉｽ</t>
    <rPh sb="0" eb="1">
      <t>ニチ</t>
    </rPh>
    <rPh sb="1" eb="2">
      <t>アイ</t>
    </rPh>
    <phoneticPr fontId="1"/>
  </si>
  <si>
    <t>佐々木溶接工業</t>
    <rPh sb="0" eb="3">
      <t>ササキ</t>
    </rPh>
    <rPh sb="3" eb="5">
      <t>ヨウセツ</t>
    </rPh>
    <rPh sb="5" eb="7">
      <t>コウギョウ</t>
    </rPh>
    <phoneticPr fontId="1"/>
  </si>
  <si>
    <t>㈲田村工業</t>
    <rPh sb="1" eb="3">
      <t>タムラ</t>
    </rPh>
    <rPh sb="3" eb="5">
      <t>コウギョウ</t>
    </rPh>
    <phoneticPr fontId="1"/>
  </si>
  <si>
    <t>㈱いしだ屋</t>
    <rPh sb="4" eb="5">
      <t>ヤ</t>
    </rPh>
    <phoneticPr fontId="1"/>
  </si>
  <si>
    <t>金子国際ﾀｰﾐﾅﾙ</t>
    <rPh sb="0" eb="2">
      <t>カネコ</t>
    </rPh>
    <rPh sb="2" eb="4">
      <t>コクサイ</t>
    </rPh>
    <phoneticPr fontId="1"/>
  </si>
  <si>
    <t>稲毛正則</t>
    <rPh sb="0" eb="1">
      <t>イナ</t>
    </rPh>
    <rPh sb="1" eb="2">
      <t>ケ</t>
    </rPh>
    <rPh sb="2" eb="4">
      <t>マサノリ</t>
    </rPh>
    <phoneticPr fontId="1"/>
  </si>
  <si>
    <t>応用機械</t>
    <rPh sb="0" eb="2">
      <t>オウヨウ</t>
    </rPh>
    <rPh sb="2" eb="4">
      <t>キカイ</t>
    </rPh>
    <phoneticPr fontId="1"/>
  </si>
  <si>
    <t>相川鉄工㈱</t>
    <rPh sb="0" eb="2">
      <t>アイカワ</t>
    </rPh>
    <rPh sb="2" eb="4">
      <t>テッコウ</t>
    </rPh>
    <phoneticPr fontId="1"/>
  </si>
  <si>
    <t>成光産業㈱</t>
    <rPh sb="0" eb="2">
      <t>ナリミツ</t>
    </rPh>
    <rPh sb="2" eb="4">
      <t>サンギョウ</t>
    </rPh>
    <phoneticPr fontId="1"/>
  </si>
  <si>
    <t>ﾒｯｸ広島</t>
    <rPh sb="3" eb="5">
      <t>ヒロシマ</t>
    </rPh>
    <phoneticPr fontId="1"/>
  </si>
  <si>
    <t>ﾃｸﾉ石川</t>
    <rPh sb="3" eb="5">
      <t>イシカワ</t>
    </rPh>
    <phoneticPr fontId="1"/>
  </si>
  <si>
    <t>神東工業</t>
    <rPh sb="0" eb="2">
      <t>シントウ</t>
    </rPh>
    <rPh sb="2" eb="4">
      <t>コウギョウ</t>
    </rPh>
    <phoneticPr fontId="1"/>
  </si>
  <si>
    <t>ﾕﾆﾁｬｰﾑｸﾞﾛｰﾊﾞﾙ開発</t>
    <rPh sb="13" eb="15">
      <t>カイハツ</t>
    </rPh>
    <phoneticPr fontId="1"/>
  </si>
  <si>
    <t>ﾕﾆﾁｬｰﾑ生産</t>
    <rPh sb="6" eb="8">
      <t>セイサン</t>
    </rPh>
    <phoneticPr fontId="1"/>
  </si>
  <si>
    <t>鈴木建機</t>
    <rPh sb="0" eb="2">
      <t>スズキ</t>
    </rPh>
    <rPh sb="2" eb="4">
      <t>ケンキ</t>
    </rPh>
    <phoneticPr fontId="1"/>
  </si>
  <si>
    <t>愛媛小林製薬</t>
    <rPh sb="0" eb="2">
      <t>エヒメ</t>
    </rPh>
    <rPh sb="2" eb="4">
      <t>コバヤシ</t>
    </rPh>
    <rPh sb="4" eb="6">
      <t>セイヤク</t>
    </rPh>
    <phoneticPr fontId="1"/>
  </si>
  <si>
    <t>三好養魚場</t>
    <rPh sb="0" eb="2">
      <t>ミヨシ</t>
    </rPh>
    <rPh sb="2" eb="4">
      <t>ヨウギョ</t>
    </rPh>
    <rPh sb="4" eb="5">
      <t>ジョウ</t>
    </rPh>
    <phoneticPr fontId="1"/>
  </si>
  <si>
    <t>水ing･AM㈱</t>
    <rPh sb="0" eb="1">
      <t>ミズ</t>
    </rPh>
    <phoneticPr fontId="1"/>
  </si>
  <si>
    <t>小出ﾛｰﾙ</t>
    <rPh sb="0" eb="2">
      <t>コイデ</t>
    </rPh>
    <phoneticPr fontId="1"/>
  </si>
  <si>
    <t>㈱石川興産</t>
    <rPh sb="1" eb="3">
      <t>イシカワ</t>
    </rPh>
    <rPh sb="3" eb="5">
      <t>コウサン</t>
    </rPh>
    <phoneticPr fontId="1"/>
  </si>
  <si>
    <t>ﾕﾆﾁｬｰﾑ国光N管理G</t>
    <rPh sb="6" eb="8">
      <t>コッコウ</t>
    </rPh>
    <rPh sb="9" eb="11">
      <t>カンリ</t>
    </rPh>
    <phoneticPr fontId="1"/>
  </si>
  <si>
    <t>ﾔｯｸ化成　豊中F</t>
    <rPh sb="3" eb="5">
      <t>カセイ</t>
    </rPh>
    <rPh sb="6" eb="8">
      <t>トヨナカ</t>
    </rPh>
    <phoneticPr fontId="1"/>
  </si>
  <si>
    <t>ﾔｯｸ化成　豊中M</t>
    <rPh sb="3" eb="5">
      <t>カセイ</t>
    </rPh>
    <rPh sb="6" eb="8">
      <t>トヨナカ</t>
    </rPh>
    <phoneticPr fontId="1"/>
  </si>
  <si>
    <t>便利屋</t>
    <rPh sb="0" eb="3">
      <t>ベンリヤ</t>
    </rPh>
    <phoneticPr fontId="1"/>
  </si>
  <si>
    <t>丸住製紙</t>
    <rPh sb="0" eb="2">
      <t>マルスミ</t>
    </rPh>
    <rPh sb="2" eb="4">
      <t>セイシ</t>
    </rPh>
    <phoneticPr fontId="1"/>
  </si>
  <si>
    <t>山川鉄工所</t>
    <rPh sb="0" eb="5">
      <t>ヤマカワテッコウショ</t>
    </rPh>
    <phoneticPr fontId="1"/>
  </si>
  <si>
    <t>大和川紙工</t>
    <rPh sb="0" eb="2">
      <t>ヤマト</t>
    </rPh>
    <rPh sb="2" eb="3">
      <t>カワ</t>
    </rPh>
    <rPh sb="3" eb="5">
      <t>シコウ</t>
    </rPh>
    <phoneticPr fontId="1"/>
  </si>
  <si>
    <t>山本製作所</t>
    <rPh sb="0" eb="2">
      <t>ヤマモト</t>
    </rPh>
    <rPh sb="2" eb="5">
      <t>セイサクショ</t>
    </rPh>
    <phoneticPr fontId="1"/>
  </si>
  <si>
    <t>石川ｺﾝﾄﾛｰﾙ</t>
    <rPh sb="0" eb="2">
      <t>イシカワ</t>
    </rPh>
    <phoneticPr fontId="1"/>
  </si>
  <si>
    <t>青木兄弟加工所</t>
    <rPh sb="0" eb="2">
      <t>アオキ</t>
    </rPh>
    <rPh sb="2" eb="4">
      <t>キョウダイ</t>
    </rPh>
    <rPh sb="4" eb="6">
      <t>カコウ</t>
    </rPh>
    <rPh sb="6" eb="7">
      <t>ショ</t>
    </rPh>
    <phoneticPr fontId="1"/>
  </si>
  <si>
    <t>宇摩森林組合</t>
    <rPh sb="0" eb="2">
      <t>ウマ</t>
    </rPh>
    <rPh sb="2" eb="4">
      <t>シンリン</t>
    </rPh>
    <rPh sb="4" eb="6">
      <t>クミアイ</t>
    </rPh>
    <phoneticPr fontId="1"/>
  </si>
  <si>
    <t>ｵｰﾄｻﾛﾝ星川</t>
    <rPh sb="6" eb="8">
      <t>ホシカワ</t>
    </rPh>
    <phoneticPr fontId="1"/>
  </si>
  <si>
    <t>大西林業</t>
    <rPh sb="0" eb="2">
      <t>オオニシ</t>
    </rPh>
    <rPh sb="2" eb="4">
      <t>リンギョウ</t>
    </rPh>
    <phoneticPr fontId="1"/>
  </si>
  <si>
    <t>大光ﾁｯﾌﾟ作業</t>
    <rPh sb="0" eb="2">
      <t>ダイコウ</t>
    </rPh>
    <rPh sb="6" eb="8">
      <t>サギョウ</t>
    </rPh>
    <phoneticPr fontId="1"/>
  </si>
  <si>
    <t>大栄製紙</t>
    <rPh sb="0" eb="2">
      <t>ダイエイ</t>
    </rPh>
    <rPh sb="2" eb="4">
      <t>セイシ</t>
    </rPh>
    <phoneticPr fontId="1"/>
  </si>
  <si>
    <t>東亜ｴﾝｼﾞﾆｱﾘﾝｸﾞ</t>
    <rPh sb="0" eb="2">
      <t>トウア</t>
    </rPh>
    <phoneticPr fontId="1"/>
  </si>
  <si>
    <t>別子木材ｾﾝﾀｰ</t>
    <rPh sb="0" eb="2">
      <t>ベッシ</t>
    </rPh>
    <rPh sb="2" eb="4">
      <t>モクザイ</t>
    </rPh>
    <phoneticPr fontId="1"/>
  </si>
  <si>
    <t>ﾘﾝﾃｯｸ四国支店</t>
    <rPh sb="5" eb="7">
      <t>シコク</t>
    </rPh>
    <rPh sb="7" eb="9">
      <t>シテン</t>
    </rPh>
    <phoneticPr fontId="1"/>
  </si>
  <si>
    <t>秋山設備工業</t>
    <rPh sb="0" eb="2">
      <t>アキヤマ</t>
    </rPh>
    <rPh sb="2" eb="4">
      <t>セツビ</t>
    </rPh>
    <rPh sb="4" eb="6">
      <t>コウギョウ</t>
    </rPh>
    <phoneticPr fontId="1"/>
  </si>
  <si>
    <t>ﾘﾌﾞﾄﾞｩｺｰﾎﾟﾚｰｼｮﾝ西部工場貞光</t>
    <rPh sb="15" eb="17">
      <t>セイブ</t>
    </rPh>
    <rPh sb="17" eb="19">
      <t>コウジョウ</t>
    </rPh>
    <rPh sb="19" eb="21">
      <t>テイコウ</t>
    </rPh>
    <phoneticPr fontId="1"/>
  </si>
  <si>
    <t>東亜機工㈱</t>
    <rPh sb="0" eb="2">
      <t>トウア</t>
    </rPh>
    <rPh sb="2" eb="4">
      <t>キコウ</t>
    </rPh>
    <phoneticPr fontId="1"/>
  </si>
  <si>
    <t>加地建設</t>
    <rPh sb="0" eb="2">
      <t>カジ</t>
    </rPh>
    <rPh sb="2" eb="4">
      <t>ケンセツ</t>
    </rPh>
    <phoneticPr fontId="1"/>
  </si>
  <si>
    <t>田邊工業</t>
    <rPh sb="0" eb="2">
      <t>タナベ</t>
    </rPh>
    <rPh sb="2" eb="4">
      <t>コウギョウ</t>
    </rPh>
    <phoneticPr fontId="1"/>
  </si>
  <si>
    <t>大輝(請)</t>
    <rPh sb="0" eb="2">
      <t>ダイキ</t>
    </rPh>
    <rPh sb="3" eb="4">
      <t>セイ</t>
    </rPh>
    <phoneticPr fontId="1"/>
  </si>
  <si>
    <t>小薮工業</t>
    <rPh sb="0" eb="1">
      <t>ショウ</t>
    </rPh>
    <rPh sb="1" eb="2">
      <t>ヤブ</t>
    </rPh>
    <rPh sb="2" eb="4">
      <t>コウギョウ</t>
    </rPh>
    <phoneticPr fontId="1"/>
  </si>
  <si>
    <t>加地組　咲蔵工房</t>
    <rPh sb="0" eb="3">
      <t>カジグミ</t>
    </rPh>
    <rPh sb="4" eb="5">
      <t>サキ</t>
    </rPh>
    <rPh sb="5" eb="6">
      <t>ゾウ</t>
    </rPh>
    <rPh sb="6" eb="8">
      <t>コウボウ</t>
    </rPh>
    <phoneticPr fontId="1"/>
  </si>
  <si>
    <t>㈱今村紙工</t>
    <rPh sb="1" eb="3">
      <t>イマムラ</t>
    </rPh>
    <rPh sb="3" eb="5">
      <t>シコウ</t>
    </rPh>
    <phoneticPr fontId="1"/>
  </si>
  <si>
    <t>瀬戸内ﾃｯｸ</t>
    <rPh sb="0" eb="3">
      <t>セトウチ</t>
    </rPh>
    <phoneticPr fontId="1"/>
  </si>
  <si>
    <t>天堂工業</t>
    <rPh sb="0" eb="2">
      <t>テンドウ</t>
    </rPh>
    <rPh sb="2" eb="4">
      <t>コウギョウ</t>
    </rPh>
    <phoneticPr fontId="1"/>
  </si>
  <si>
    <t>ｶﾐ商事三島</t>
    <rPh sb="2" eb="4">
      <t>ショウジ</t>
    </rPh>
    <rPh sb="4" eb="6">
      <t>ミシマ</t>
    </rPh>
    <phoneticPr fontId="1"/>
  </si>
  <si>
    <t>見積受発注用</t>
    <rPh sb="0" eb="2">
      <t>ミツモリ</t>
    </rPh>
    <rPh sb="2" eb="5">
      <t>ジュハッチュウ</t>
    </rPh>
    <rPh sb="5" eb="6">
      <t>ヨウ</t>
    </rPh>
    <phoneticPr fontId="1"/>
  </si>
  <si>
    <t>現金</t>
    <rPh sb="0" eb="2">
      <t>ゲンキン</t>
    </rPh>
    <phoneticPr fontId="1"/>
  </si>
  <si>
    <t>丸住製紙　大江</t>
    <rPh sb="0" eb="2">
      <t>マルスミ</t>
    </rPh>
    <rPh sb="2" eb="4">
      <t>セイシ</t>
    </rPh>
    <rPh sb="5" eb="7">
      <t>オオエ</t>
    </rPh>
    <phoneticPr fontId="1"/>
  </si>
  <si>
    <t>丸住製紙　川之江</t>
    <rPh sb="0" eb="2">
      <t>マルスミ</t>
    </rPh>
    <rPh sb="2" eb="4">
      <t>セイシ</t>
    </rPh>
    <rPh sb="5" eb="8">
      <t>カワノエ</t>
    </rPh>
    <phoneticPr fontId="1"/>
  </si>
  <si>
    <t>丸住製紙　大江B</t>
    <rPh sb="0" eb="2">
      <t>マルスミ</t>
    </rPh>
    <rPh sb="2" eb="4">
      <t>セイシ</t>
    </rPh>
    <rPh sb="5" eb="7">
      <t>オオエ</t>
    </rPh>
    <phoneticPr fontId="1"/>
  </si>
  <si>
    <t>丸住製紙　川之江B</t>
    <rPh sb="0" eb="2">
      <t>マルスミ</t>
    </rPh>
    <rPh sb="2" eb="4">
      <t>セイシ</t>
    </rPh>
    <rPh sb="5" eb="8">
      <t>カワノエ</t>
    </rPh>
    <phoneticPr fontId="1"/>
  </si>
  <si>
    <t>丸住製紙　施設部</t>
    <rPh sb="0" eb="2">
      <t>マルスミ</t>
    </rPh>
    <rPh sb="2" eb="4">
      <t>セイシ</t>
    </rPh>
    <rPh sb="5" eb="7">
      <t>シセツ</t>
    </rPh>
    <rPh sb="7" eb="8">
      <t>ブ</t>
    </rPh>
    <phoneticPr fontId="1"/>
  </si>
  <si>
    <t>ﾒｲﾝﾏﾘｰﾝ　船舶管理部</t>
    <rPh sb="8" eb="10">
      <t>センパク</t>
    </rPh>
    <rPh sb="10" eb="12">
      <t>カンリ</t>
    </rPh>
    <rPh sb="12" eb="13">
      <t>ブ</t>
    </rPh>
    <phoneticPr fontId="1"/>
  </si>
  <si>
    <t>ﾒｲﾝﾏﾘｰﾝ　資材</t>
    <rPh sb="8" eb="10">
      <t>シザイ</t>
    </rPh>
    <phoneticPr fontId="1"/>
  </si>
  <si>
    <t>瀬戸中央ﾃｯｸ</t>
    <rPh sb="0" eb="2">
      <t>セト</t>
    </rPh>
    <rPh sb="2" eb="4">
      <t>チュウオウ</t>
    </rPh>
    <phoneticPr fontId="1"/>
  </si>
  <si>
    <t>小藪工業</t>
    <rPh sb="0" eb="2">
      <t>コヤブ</t>
    </rPh>
    <rPh sb="2" eb="4">
      <t>コウギョウ</t>
    </rPh>
    <phoneticPr fontId="1"/>
  </si>
  <si>
    <t>ｶﾐ商事㈱</t>
    <rPh sb="2" eb="4">
      <t>ショウジ</t>
    </rPh>
    <phoneticPr fontId="1"/>
  </si>
  <si>
    <t>新光電装</t>
    <rPh sb="0" eb="2">
      <t>シンコウ</t>
    </rPh>
    <rPh sb="2" eb="4">
      <t>デンソウ</t>
    </rPh>
    <phoneticPr fontId="1"/>
  </si>
  <si>
    <t>愛媛生ｺﾝ</t>
    <rPh sb="0" eb="2">
      <t>エヒメ</t>
    </rPh>
    <rPh sb="2" eb="3">
      <t>ナマ</t>
    </rPh>
    <phoneticPr fontId="1"/>
  </si>
  <si>
    <t>竹崎技工</t>
    <rPh sb="0" eb="2">
      <t>タケザキ</t>
    </rPh>
    <rPh sb="2" eb="4">
      <t>ギコウ</t>
    </rPh>
    <phoneticPr fontId="1"/>
  </si>
  <si>
    <t>小原工業</t>
    <rPh sb="0" eb="2">
      <t>オハラ</t>
    </rPh>
    <rPh sb="2" eb="4">
      <t>コウギョウ</t>
    </rPh>
    <phoneticPr fontId="1"/>
  </si>
  <si>
    <t>安全自動車</t>
    <rPh sb="0" eb="2">
      <t>アンゼン</t>
    </rPh>
    <rPh sb="2" eb="5">
      <t>ジドウシャ</t>
    </rPh>
    <phoneticPr fontId="1"/>
  </si>
  <si>
    <t>大野工業</t>
    <rPh sb="0" eb="2">
      <t>オオノ</t>
    </rPh>
    <rPh sb="2" eb="4">
      <t>コウギョウ</t>
    </rPh>
    <phoneticPr fontId="1"/>
  </si>
  <si>
    <t>伊予機械製作所</t>
    <rPh sb="0" eb="2">
      <t>イヨ</t>
    </rPh>
    <rPh sb="2" eb="4">
      <t>キカイ</t>
    </rPh>
    <rPh sb="4" eb="7">
      <t>セイサクショ</t>
    </rPh>
    <phoneticPr fontId="1"/>
  </si>
  <si>
    <t>ｱﾙｼｽ商事</t>
    <rPh sb="4" eb="6">
      <t>ショウジ</t>
    </rPh>
    <phoneticPr fontId="1"/>
  </si>
  <si>
    <t>BC</t>
    <phoneticPr fontId="1"/>
  </si>
  <si>
    <t>1/4</t>
    <phoneticPr fontId="1"/>
  </si>
  <si>
    <t>3/8</t>
    <phoneticPr fontId="1"/>
  </si>
  <si>
    <t>T33</t>
    <phoneticPr fontId="1"/>
  </si>
  <si>
    <t>DV-VU</t>
    <phoneticPr fontId="1"/>
  </si>
  <si>
    <t>T34</t>
    <phoneticPr fontId="1"/>
  </si>
  <si>
    <t>HT</t>
    <phoneticPr fontId="1"/>
  </si>
  <si>
    <t>T53</t>
    <phoneticPr fontId="1"/>
  </si>
  <si>
    <t>ﾊﾞﾙﾌﾞｿｹｯﾄ</t>
    <phoneticPr fontId="1"/>
  </si>
  <si>
    <t>T54</t>
    <phoneticPr fontId="1"/>
  </si>
  <si>
    <t>ﾕﾆｵﾝｿｹｯﾄ</t>
    <phoneticPr fontId="1"/>
  </si>
  <si>
    <t>ｴｽﾛﾝ</t>
    <phoneticPr fontId="1"/>
  </si>
  <si>
    <t>934021</t>
    <phoneticPr fontId="1"/>
  </si>
  <si>
    <t>M.Ligare</t>
  </si>
  <si>
    <t>T55</t>
    <phoneticPr fontId="1"/>
  </si>
  <si>
    <t>ｲﾝｸﾘｰｻﾞｰ</t>
    <phoneticPr fontId="1"/>
  </si>
  <si>
    <t>T56</t>
    <phoneticPr fontId="1"/>
  </si>
  <si>
    <t>Y</t>
    <phoneticPr fontId="1"/>
  </si>
  <si>
    <t>T57</t>
    <phoneticPr fontId="1"/>
  </si>
  <si>
    <t>異径Y</t>
    <rPh sb="0" eb="2">
      <t>イケイ</t>
    </rPh>
    <phoneticPr fontId="1"/>
  </si>
  <si>
    <t>T35</t>
    <phoneticPr fontId="1"/>
  </si>
  <si>
    <t>FC白</t>
    <rPh sb="2" eb="3">
      <t>シロ</t>
    </rPh>
    <phoneticPr fontId="1"/>
  </si>
  <si>
    <t>ﾘﾝﾃｯｸ</t>
  </si>
  <si>
    <t>三和金属</t>
    <rPh sb="0" eb="2">
      <t>サンワ</t>
    </rPh>
    <rPh sb="2" eb="4">
      <t>キンゾク</t>
    </rPh>
    <phoneticPr fontId="1"/>
  </si>
  <si>
    <t>ｱｲﾑ</t>
  </si>
  <si>
    <t>井原鉄工所</t>
    <rPh sb="0" eb="5">
      <t>イハラテッコウショ</t>
    </rPh>
    <phoneticPr fontId="1"/>
  </si>
  <si>
    <t>井原鉄工所　山田井</t>
    <rPh sb="0" eb="5">
      <t>イハラテッコウショ</t>
    </rPh>
    <rPh sb="6" eb="9">
      <t>ヤマダイ</t>
    </rPh>
    <phoneticPr fontId="1"/>
  </si>
  <si>
    <t>伊予機械</t>
    <rPh sb="0" eb="2">
      <t>イヨ</t>
    </rPh>
    <rPh sb="2" eb="4">
      <t>キカイ</t>
    </rPh>
    <phoneticPr fontId="1"/>
  </si>
  <si>
    <t>ｻﾄｰｴﾝｼﾞ</t>
  </si>
  <si>
    <t>㈱SGM</t>
  </si>
  <si>
    <t>ｶｸｹｲ㈱</t>
  </si>
  <si>
    <t>いぶき</t>
  </si>
  <si>
    <t>㈱しこくｸﾞﾘｰﾝﾌｧｰﾑ</t>
  </si>
  <si>
    <t>ｶﾜｲﾁ㈱</t>
  </si>
  <si>
    <t>㈱ﾂﾂｲ</t>
  </si>
  <si>
    <t>Tomoeﾍﾞﾙﾄ㈱</t>
  </si>
  <si>
    <t>ｳｫｰﾀｰﾃｸﾉ</t>
  </si>
  <si>
    <t>ﾌｫｰﾄﾄﾗｽﾄ</t>
  </si>
  <si>
    <t>ﾘｭｳｸﾞｳ</t>
  </si>
  <si>
    <t>ﾌｸﾚｯｸｽ</t>
  </si>
  <si>
    <t>ｱﾌﾞｱﾌﾞ</t>
  </si>
  <si>
    <t>ｴﾉｷﾊﾟﾙﾌﾟ</t>
  </si>
  <si>
    <t>㈱ｵｰﾀｹ</t>
  </si>
  <si>
    <t>㈱ﾆﾁｿﾞｳﾃｯｸ</t>
  </si>
  <si>
    <t>MKNｴﾝｼﾞﾆｱﾘﾝｸﾞ</t>
  </si>
  <si>
    <t>KDK</t>
  </si>
  <si>
    <t>㈱ｻﾝﾖ</t>
  </si>
  <si>
    <t>ﾀﾞｲｿｰケミカル</t>
  </si>
  <si>
    <t>㈱ﾀｷｻﾝ</t>
  </si>
  <si>
    <t>㈱ｱｵﾉ</t>
  </si>
  <si>
    <t>IHIﾌｫｲﾄ</t>
  </si>
  <si>
    <t>ﾃｸﾉｴﾝｼﾞﾆｱﾘﾝｸﾞ</t>
  </si>
  <si>
    <t>ｱｲ･ｼｰ㈱</t>
  </si>
  <si>
    <t>TRIOHAPINESS</t>
  </si>
  <si>
    <t>ｺﾏﾂﾘﾌﾄ㈱</t>
  </si>
  <si>
    <t>EIMｼｺﾁｭｰ</t>
  </si>
  <si>
    <t>ｴｽﾋﾟｰ</t>
  </si>
  <si>
    <t>ｳﾉｻﾜｴﾝｼﾞ</t>
  </si>
  <si>
    <t>ｱｯｸｽｺｰﾎﾟﾚｰｼｮﾝ</t>
  </si>
  <si>
    <t>Zﾚｰｼﾝｸﾞﾊﾟｰﾂ</t>
  </si>
  <si>
    <t>ｱﾗｲｱﾝｽ</t>
  </si>
  <si>
    <t>ｺﾒｯﾄｸﾘｰﾝ</t>
  </si>
  <si>
    <t>ｽｶｲﾃｸﾉｴﾝｼﾞ</t>
  </si>
  <si>
    <t>ｸﾞﾛｰﾊﾞﾙﾊﾟｯｹｰｼﾞ</t>
  </si>
  <si>
    <t>ｲﾄｳ</t>
  </si>
  <si>
    <t>ｸﾚﾄﾑ</t>
  </si>
  <si>
    <t>ﾕﾆﾊﾞｰｽ</t>
  </si>
  <si>
    <t>ﾌﾟﾚﾐｱﾑ</t>
  </si>
  <si>
    <t>いよぎんﾘｰｽ</t>
  </si>
  <si>
    <t>ﾏｼﾝｱﾌﾀｰﾅｶﾞﾉ</t>
  </si>
  <si>
    <t>ｳｴﾃﾞﾝ</t>
  </si>
  <si>
    <t>ﾘｶﾊﾞﾘｰﾍﾟｰﾊﾟｰﾃｯｸ</t>
  </si>
  <si>
    <t>ﾌﾟﾗﾃｯｸ</t>
  </si>
  <si>
    <t>ｲﾄﾏﾝ</t>
  </si>
  <si>
    <t>ｺﾞｳﾀﾞ</t>
  </si>
  <si>
    <t>㈱ｷﾝｾｲ</t>
  </si>
  <si>
    <t>MKT</t>
  </si>
  <si>
    <t>ｱｲﾀﾞｼｽﾃﾑ</t>
  </si>
  <si>
    <t>EAST</t>
  </si>
  <si>
    <t>㈱ﾏﾙﾆﾁ</t>
  </si>
  <si>
    <t>ﾒｶﾃｯｸ</t>
  </si>
  <si>
    <t>ｴﾘｴｰﾙﾍﾟｰﾊﾟｰﾃｸﾉ</t>
  </si>
  <si>
    <t>ﾀﾞｲｵｰﾍﾟｰﾊﾟｰﾃｯｸ</t>
  </si>
  <si>
    <t>ﾀﾞｲｵｰｴｺﾜｰｸ</t>
  </si>
  <si>
    <t>ｴﾘｴｰﾙﾌﾟﾛﾀﾞｸﾄ</t>
  </si>
  <si>
    <t>ｶﾀｵｶｷｺｰ</t>
  </si>
  <si>
    <t>ﾘﾌﾞﾄﾞｩｺｰﾎﾟﾚｰｼｮﾝ</t>
  </si>
  <si>
    <t>ｲﾏｼﾞﾝ</t>
  </si>
  <si>
    <t>ｴﾑﾌﾟﾗﾝﾆﾝｸﾞ</t>
  </si>
  <si>
    <t>ﾄｯﾌﾟﾌｫｰﾑ</t>
  </si>
  <si>
    <t>ﾃﾞｨﾌﾟﾛ</t>
  </si>
  <si>
    <t>ｴｰｴｽｼﾞｰ</t>
  </si>
  <si>
    <t>NSｺｽﾒ</t>
  </si>
  <si>
    <t>Keiwa</t>
  </si>
  <si>
    <t>ｳｫｰﾀｰﾜｰｸｽ</t>
  </si>
  <si>
    <t>SPC</t>
  </si>
  <si>
    <t>ｻﾝﾊﾟｯｸ</t>
  </si>
  <si>
    <t>ﾊｲﾃｸﾉｽ</t>
  </si>
  <si>
    <t>ﾀｽｸｱｰｷ</t>
  </si>
  <si>
    <t>ｽﾙｶﾞ</t>
  </si>
  <si>
    <t>㈱ﾀｶｲ</t>
  </si>
  <si>
    <t>ﾓﾘｵﾄﾌﾟﾛﾀﾞｸﾂ</t>
  </si>
  <si>
    <t>ﾃｰﾌﾞﾙﾏｰｸ</t>
  </si>
  <si>
    <t>ｾｲﾜ</t>
  </si>
  <si>
    <t>TYｿﾘｭｰｼｮﾝ</t>
  </si>
  <si>
    <t>ｻﾞﾂｳﾘｱｹﾞ</t>
  </si>
  <si>
    <t>ｺﾞｰｸﾗ</t>
  </si>
  <si>
    <t>ｻﾝ･ｼﾞｬﾊﾟﾝ</t>
  </si>
  <si>
    <t>Life-do.Plus</t>
  </si>
  <si>
    <t>ｻｸﾗｼﾉｺｳ</t>
  </si>
  <si>
    <t>㈱ｼﾝｱｲ</t>
  </si>
  <si>
    <t>ｽﾘｰﾎﾞﾝﾄﾞﾕﾆｺﾑ</t>
  </si>
  <si>
    <t>O&amp;Cｱｲﾎﾞﾘｰﾎﾞｰﾄﾞ</t>
  </si>
  <si>
    <t>㈱ｽｷﾞｳｴ</t>
  </si>
  <si>
    <t>ｻﾝﾉﾌﾟｺ㈱</t>
  </si>
  <si>
    <t>ｷｰﾃｯｸ</t>
  </si>
  <si>
    <t>ﾏﾙﾏｽﾄﾘｸﾞ</t>
  </si>
  <si>
    <t>ｼｰﾈｯﾄ</t>
  </si>
  <si>
    <t>ﾀﾞｲﾀﾞﾝ㈱</t>
  </si>
  <si>
    <t>㈲ｽｽﾞｷ</t>
  </si>
  <si>
    <t>㈱ﾊﾞｰﾍﾟﾙ</t>
  </si>
  <si>
    <t>㈱ﾐﾔｻﾞｷ</t>
  </si>
  <si>
    <t>ﾘｭｳｸﾞｳ㈱</t>
  </si>
  <si>
    <t>IKEDA</t>
  </si>
  <si>
    <t>ｴｲｺｰ</t>
  </si>
  <si>
    <t>ﾋﾞｰｼﾞｪｲﾃｸﾉﾛｼﾞｰｽﾞ</t>
  </si>
  <si>
    <t>ﾊﾞｲｸﾊﾟｰﾂｼｮｯﾌﾟZERO</t>
  </si>
  <si>
    <t>ｱｲ･ｴｽ･ﾋﾞｰ</t>
  </si>
  <si>
    <t>ﾔｴｽ</t>
  </si>
  <si>
    <t>ｽｰﾊﾟｰﾃｯｸ</t>
  </si>
  <si>
    <t>KYOUEI</t>
  </si>
  <si>
    <t>ｼﾝｾｲﾃｸﾉ㈱</t>
  </si>
  <si>
    <t>ｴｲﾌﾞﾙ</t>
  </si>
  <si>
    <t>ｴｽｼｰｴｰ</t>
  </si>
  <si>
    <t>ﾘﾌﾞﾄﾞｩｺｰﾎﾟﾚｰｼｮﾝM</t>
  </si>
  <si>
    <t>ﾌﾚｯｼｭﾃﾞﾎﾟ</t>
  </si>
  <si>
    <t>ｴﾑﾜｲｼｰ</t>
  </si>
  <si>
    <t>ｴﾘｴｰﾙﾘｿﾞｰﾂｺﾞﾙﾌｸﾗﾌﾞ</t>
  </si>
  <si>
    <t>ﾏﾙｼﾞﾝ</t>
  </si>
  <si>
    <t>ﾀｸﾏｯｸｽ</t>
  </si>
  <si>
    <t>ﾀﾞｲｵｰﾛｼﾞｽﾃｨｸｽ</t>
  </si>
  <si>
    <t>ｴｲﾄﾜﾝ</t>
  </si>
  <si>
    <t>ｻﾝﾕｳ</t>
  </si>
  <si>
    <t>ｱｸﾃｨﾌﾞ</t>
  </si>
  <si>
    <t>ｴﾘｴｰﾙﾌｰｽﾞ</t>
  </si>
  <si>
    <t>ｶﾐﾓﾘ</t>
  </si>
  <si>
    <t>㈲ｶﾈｼﾝ</t>
  </si>
  <si>
    <t>ｴﾑｹｲﾌﾟﾗﾝﾄｻｰﾋﾞｽ</t>
  </si>
  <si>
    <t>ｼｰﾄﾗﾎﾞ</t>
  </si>
  <si>
    <t>ﾌｸﾖｰ</t>
  </si>
  <si>
    <t>㈱ｾﾝｺｰ</t>
  </si>
  <si>
    <t>ｱｲ･ﾃｨ･ｼｰ</t>
  </si>
  <si>
    <t>ﾘﾝﾃｯｸｻｰﾋﾞｽ</t>
  </si>
  <si>
    <t>ﾀｶｶﾞﾜｺﾞﾙﾌ</t>
  </si>
  <si>
    <t>㈲かわたき</t>
  </si>
  <si>
    <t>ｴﾘｴｰﾙﾍﾟｰﾊﾟｰﾃｸﾉﾛｼﾞｰ</t>
  </si>
  <si>
    <t>ｴﾘｴｰﾙﾍﾟｰﾊﾟｰ</t>
  </si>
  <si>
    <t>㈲ｴﾑﾃｯｸ</t>
  </si>
  <si>
    <t>ﾏﾙｺｳ</t>
  </si>
  <si>
    <t>ｱｷﾂﾞｷ</t>
  </si>
  <si>
    <t>ｼﾞｪｲﾋﾞｰｼｰ</t>
  </si>
  <si>
    <t>ﾌｸﾛﾝ</t>
  </si>
  <si>
    <t>ｼﾉｺﾏ</t>
  </si>
  <si>
    <t>ｴﾙﾊﾟｯｹｰｼﾞ</t>
  </si>
  <si>
    <t>ﾏﾙｶﾜ</t>
  </si>
  <si>
    <t>あいでんき</t>
  </si>
  <si>
    <t>ﾀﾞｲｵｰｴﾝｼﾞ</t>
  </si>
  <si>
    <t>㈱ﾊﾟﾚｯﾄ</t>
  </si>
  <si>
    <t>㈱ﾍﾞｽﾃﾑ</t>
  </si>
  <si>
    <t>㈲ﾏﾙﾐﾔ</t>
  </si>
  <si>
    <t>㈱ｼｺｸｱｽ</t>
  </si>
  <si>
    <t>ﾂﾊﾞﾒｺｰﾎﾟﾚｰｼｮﾝ</t>
  </si>
  <si>
    <t>ZLINK</t>
  </si>
  <si>
    <t>㈲ｺｰｾｲ</t>
  </si>
  <si>
    <t>ﾍﾟｰﾊﾟｰﾃｯｸ</t>
  </si>
  <si>
    <t>ﾕﾆｷｬﾘｱ</t>
  </si>
  <si>
    <t>ｲﾊﾗﾃｸﾉ</t>
  </si>
  <si>
    <t>AIPA㈱</t>
  </si>
  <si>
    <t>ｺｽﾓﾃｯｸ</t>
  </si>
  <si>
    <t>ﾎﾜｲﾄｴﾝｼﾞ</t>
  </si>
  <si>
    <t>ｴﾘｴｰﾙﾍﾟｰﾊﾟｰｹﾐｶﾙ</t>
  </si>
  <si>
    <t>HSｼｽﾃﾑ</t>
  </si>
  <si>
    <t>ｱｲﾈｯﾄ</t>
  </si>
  <si>
    <t>ｲｼﾃﾞﾝ</t>
  </si>
  <si>
    <t>ﾖﾝﾊﾟ</t>
  </si>
  <si>
    <t>ｽﾀｼﾞｵ　ﾀﾞｲﾜ</t>
  </si>
  <si>
    <t>ﾕﾆｰﾄﾞﾊﾞｯｸ</t>
  </si>
  <si>
    <t>ﾀﾞｲｵｰｴﾝｼﾞ㈱</t>
  </si>
  <si>
    <t>ﾑﾗｶﾐｴﾝｼﾞ</t>
  </si>
  <si>
    <t>ｱｻﾋｼﾝｸﾛﾃｯｸ</t>
  </si>
  <si>
    <t>ISM</t>
  </si>
  <si>
    <t>ｴﾇｴﾇｴﾌﾌﾛｰｽﾞﾝｼｽﾃﾑｽﾞ</t>
  </si>
  <si>
    <t>Komoda㈱</t>
  </si>
  <si>
    <t>㈱ｼﾞｬﾊﾟﾝｷﾞｬﾙｽﾞ</t>
  </si>
  <si>
    <t>ﾀﾞｲｵｰﾊﾟｯｷﾝｸﾞｼｽﾃﾑ</t>
  </si>
  <si>
    <t>BASFｼﾞｬﾊﾟﾝ</t>
  </si>
  <si>
    <t>ｾｶﾝﾄﾞﾘｰﾌｧｲﾊﾞｰ</t>
  </si>
  <si>
    <t>ｲﾝｸﾞﾚﾃﾞｨｵﾝ･ｼﾞｬﾊﾟﾝ</t>
  </si>
  <si>
    <t>ﾒｲﾝ･ﾏﾘｰﾝ</t>
  </si>
  <si>
    <t>ﾒｲﾝﾏﾘｰﾝ</t>
  </si>
  <si>
    <t>ﾒｲﾝﾏﾘｰﾝ㈱</t>
  </si>
  <si>
    <t>ｼﾙｷｰ㈱</t>
  </si>
  <si>
    <t>ｱﾙｼｽﾃｽﾄ</t>
  </si>
  <si>
    <t>943007</t>
    <phoneticPr fontId="1"/>
  </si>
  <si>
    <t>SUS溶接ﾌﾗﾝｼﾞ</t>
    <rPh sb="3" eb="5">
      <t>ヨウセツ</t>
    </rPh>
    <phoneticPr fontId="1"/>
  </si>
  <si>
    <t>911069</t>
    <phoneticPr fontId="1"/>
  </si>
  <si>
    <t>ASAHI</t>
    <phoneticPr fontId="1"/>
  </si>
  <si>
    <t>旭精工</t>
    <rPh sb="0" eb="1">
      <t>アサヒ</t>
    </rPh>
    <rPh sb="1" eb="3">
      <t>セイコウ</t>
    </rPh>
    <phoneticPr fontId="1"/>
  </si>
  <si>
    <t>922022</t>
    <phoneticPr fontId="1"/>
  </si>
  <si>
    <t>KITZ</t>
    <phoneticPr fontId="1"/>
  </si>
  <si>
    <t>943013</t>
    <phoneticPr fontId="1"/>
  </si>
  <si>
    <t>椿本ﾁｴｲﾝ</t>
    <phoneticPr fontId="1"/>
  </si>
  <si>
    <t>952143</t>
    <phoneticPr fontId="1"/>
  </si>
  <si>
    <t>日本精工</t>
    <phoneticPr fontId="1"/>
  </si>
  <si>
    <t>000004</t>
    <phoneticPr fontId="1"/>
  </si>
  <si>
    <t>000008</t>
    <phoneticPr fontId="1"/>
  </si>
  <si>
    <t>TOYO</t>
    <phoneticPr fontId="1"/>
  </si>
  <si>
    <t>TOHO</t>
    <phoneticPr fontId="1"/>
  </si>
  <si>
    <t>NACHI</t>
    <phoneticPr fontId="1"/>
  </si>
  <si>
    <t>ｱｶｷﾞ</t>
    <phoneticPr fontId="1"/>
  </si>
  <si>
    <t>932263</t>
    <phoneticPr fontId="1"/>
  </si>
  <si>
    <t>911037</t>
    <phoneticPr fontId="1"/>
  </si>
  <si>
    <t>963042</t>
    <phoneticPr fontId="1"/>
  </si>
  <si>
    <t>NSK</t>
    <phoneticPr fontId="1"/>
  </si>
  <si>
    <t>972038</t>
    <phoneticPr fontId="1"/>
  </si>
  <si>
    <t>らくねっと</t>
    <phoneticPr fontId="1"/>
  </si>
  <si>
    <t>1/8</t>
    <phoneticPr fontId="1"/>
  </si>
  <si>
    <t>6000代ｵｰﾌﾟﾝ</t>
    <rPh sb="4" eb="5">
      <t>ダイ</t>
    </rPh>
    <phoneticPr fontId="1"/>
  </si>
  <si>
    <t>6200代ｵｰﾌﾟﾝ</t>
    <rPh sb="4" eb="5">
      <t>ダイ</t>
    </rPh>
    <phoneticPr fontId="1"/>
  </si>
  <si>
    <t>6300代ｵｰﾌﾟﾝ</t>
    <rPh sb="4" eb="5">
      <t>ダイ</t>
    </rPh>
    <phoneticPr fontId="1"/>
  </si>
  <si>
    <t>6800代ｵｰﾌﾟﾝ</t>
    <rPh sb="4" eb="5">
      <t>ダイ</t>
    </rPh>
    <phoneticPr fontId="1"/>
  </si>
  <si>
    <t>6900代ｵｰﾌﾟﾝ</t>
    <rPh sb="4" eb="5">
      <t>ダイ</t>
    </rPh>
    <phoneticPr fontId="1"/>
  </si>
  <si>
    <t>6000代ZZ</t>
    <rPh sb="4" eb="5">
      <t>ダイ</t>
    </rPh>
    <phoneticPr fontId="1"/>
  </si>
  <si>
    <t>6200代ZZ</t>
    <rPh sb="4" eb="5">
      <t>ダイ</t>
    </rPh>
    <phoneticPr fontId="1"/>
  </si>
  <si>
    <t>6300代ZZ</t>
    <rPh sb="4" eb="5">
      <t>ダイ</t>
    </rPh>
    <phoneticPr fontId="1"/>
  </si>
  <si>
    <t>6800代ZZ</t>
    <rPh sb="4" eb="5">
      <t>ダイ</t>
    </rPh>
    <phoneticPr fontId="1"/>
  </si>
  <si>
    <t>6900代ZZ</t>
    <rPh sb="4" eb="5">
      <t>ダイ</t>
    </rPh>
    <phoneticPr fontId="1"/>
  </si>
  <si>
    <t>6000代ZZNR</t>
    <rPh sb="4" eb="5">
      <t>ダイ</t>
    </rPh>
    <phoneticPr fontId="1"/>
  </si>
  <si>
    <t>6200代ZZNR</t>
    <rPh sb="4" eb="5">
      <t>ダイ</t>
    </rPh>
    <phoneticPr fontId="1"/>
  </si>
  <si>
    <t>6400代ｵｰﾌﾟﾝ</t>
    <rPh sb="4" eb="5">
      <t>ダイ</t>
    </rPh>
    <phoneticPr fontId="1"/>
  </si>
  <si>
    <t>BE25</t>
    <phoneticPr fontId="1"/>
  </si>
  <si>
    <t>BE26</t>
    <phoneticPr fontId="1"/>
  </si>
  <si>
    <t>BE27</t>
    <phoneticPr fontId="1"/>
  </si>
  <si>
    <t>BE28</t>
    <phoneticPr fontId="1"/>
  </si>
  <si>
    <t>BE29</t>
    <phoneticPr fontId="1"/>
  </si>
  <si>
    <t>BE30</t>
    <phoneticPr fontId="1"/>
  </si>
  <si>
    <t>BE31</t>
    <phoneticPr fontId="1"/>
  </si>
  <si>
    <t>BE32</t>
    <phoneticPr fontId="1"/>
  </si>
  <si>
    <t>BE33</t>
    <phoneticPr fontId="1"/>
  </si>
  <si>
    <t>BE34</t>
    <phoneticPr fontId="1"/>
  </si>
  <si>
    <t>BE35</t>
    <phoneticPr fontId="1"/>
  </si>
  <si>
    <t>BE36</t>
    <phoneticPr fontId="1"/>
  </si>
  <si>
    <t>6400代ｵｰﾌﾟﾝC3</t>
    <rPh sb="4" eb="5">
      <t>ダイ</t>
    </rPh>
    <phoneticPr fontId="1"/>
  </si>
  <si>
    <t>6000代ｵｰﾌﾟﾝC3</t>
    <rPh sb="4" eb="5">
      <t>ダイ</t>
    </rPh>
    <phoneticPr fontId="1"/>
  </si>
  <si>
    <t>6200代ｵｰﾌﾟﾝC3</t>
    <rPh sb="4" eb="5">
      <t>ダイ</t>
    </rPh>
    <phoneticPr fontId="1"/>
  </si>
  <si>
    <t>6300代ｵｰﾌﾟﾝC3</t>
    <rPh sb="4" eb="5">
      <t>ダイ</t>
    </rPh>
    <phoneticPr fontId="1"/>
  </si>
  <si>
    <t>6800代ｵｰﾌﾟﾝC3</t>
    <rPh sb="4" eb="5">
      <t>ダイ</t>
    </rPh>
    <phoneticPr fontId="1"/>
  </si>
  <si>
    <t>6900代ｵｰﾌﾟﾝC3</t>
    <rPh sb="4" eb="5">
      <t>ダイ</t>
    </rPh>
    <phoneticPr fontId="1"/>
  </si>
  <si>
    <t>6400代ZZ</t>
    <rPh sb="4" eb="5">
      <t>ダイ</t>
    </rPh>
    <phoneticPr fontId="1"/>
  </si>
  <si>
    <t>BE37</t>
    <phoneticPr fontId="1"/>
  </si>
  <si>
    <t>BE38</t>
    <phoneticPr fontId="1"/>
  </si>
  <si>
    <t>BE39</t>
    <phoneticPr fontId="1"/>
  </si>
  <si>
    <t>BE40</t>
    <phoneticPr fontId="1"/>
  </si>
  <si>
    <t>BE41</t>
    <phoneticPr fontId="1"/>
  </si>
  <si>
    <t>BE42</t>
    <phoneticPr fontId="1"/>
  </si>
  <si>
    <t>6400代Z</t>
    <rPh sb="4" eb="5">
      <t>ダイ</t>
    </rPh>
    <phoneticPr fontId="1"/>
  </si>
  <si>
    <t>BE43</t>
    <phoneticPr fontId="1"/>
  </si>
  <si>
    <t>6000代Z</t>
    <rPh sb="4" eb="5">
      <t>ダイ</t>
    </rPh>
    <phoneticPr fontId="1"/>
  </si>
  <si>
    <t>BE44</t>
    <phoneticPr fontId="1"/>
  </si>
  <si>
    <t>6200代Z</t>
    <rPh sb="4" eb="5">
      <t>ダイ</t>
    </rPh>
    <phoneticPr fontId="1"/>
  </si>
  <si>
    <t>BE45</t>
    <phoneticPr fontId="1"/>
  </si>
  <si>
    <t>6300代Z</t>
    <rPh sb="4" eb="5">
      <t>ダイ</t>
    </rPh>
    <phoneticPr fontId="1"/>
  </si>
  <si>
    <t>BE46</t>
    <phoneticPr fontId="1"/>
  </si>
  <si>
    <t>BE47</t>
    <phoneticPr fontId="1"/>
  </si>
  <si>
    <t>6900代Z</t>
    <rPh sb="4" eb="5">
      <t>ダイ</t>
    </rPh>
    <phoneticPr fontId="1"/>
  </si>
  <si>
    <t>6800代Z</t>
    <rPh sb="4" eb="5">
      <t>ダイ</t>
    </rPh>
    <phoneticPr fontId="1"/>
  </si>
  <si>
    <t>BE48</t>
    <phoneticPr fontId="1"/>
  </si>
  <si>
    <t>6400代VV</t>
    <rPh sb="4" eb="5">
      <t>ダイ</t>
    </rPh>
    <phoneticPr fontId="1"/>
  </si>
  <si>
    <t>BE49</t>
    <phoneticPr fontId="1"/>
  </si>
  <si>
    <t>6000代VV</t>
    <rPh sb="4" eb="5">
      <t>ダイ</t>
    </rPh>
    <phoneticPr fontId="1"/>
  </si>
  <si>
    <t>BE50</t>
    <phoneticPr fontId="1"/>
  </si>
  <si>
    <t>BE51</t>
    <phoneticPr fontId="1"/>
  </si>
  <si>
    <t>6300代VV</t>
    <rPh sb="4" eb="5">
      <t>ダイ</t>
    </rPh>
    <phoneticPr fontId="1"/>
  </si>
  <si>
    <t>6200代VV</t>
    <rPh sb="4" eb="5">
      <t>ダイ</t>
    </rPh>
    <phoneticPr fontId="1"/>
  </si>
  <si>
    <t>BE52</t>
    <phoneticPr fontId="1"/>
  </si>
  <si>
    <t>6800代VV</t>
    <rPh sb="4" eb="5">
      <t>ダイ</t>
    </rPh>
    <phoneticPr fontId="1"/>
  </si>
  <si>
    <t>BE53</t>
    <phoneticPr fontId="1"/>
  </si>
  <si>
    <t>6900代VV</t>
    <rPh sb="4" eb="5">
      <t>ダイ</t>
    </rPh>
    <phoneticPr fontId="1"/>
  </si>
  <si>
    <t>BE54</t>
    <phoneticPr fontId="1"/>
  </si>
  <si>
    <t>6400代ZZNR</t>
    <rPh sb="4" eb="5">
      <t>ダイ</t>
    </rPh>
    <phoneticPr fontId="1"/>
  </si>
  <si>
    <t>BE55</t>
    <phoneticPr fontId="1"/>
  </si>
  <si>
    <t>BE56</t>
    <phoneticPr fontId="1"/>
  </si>
  <si>
    <t>BE57</t>
    <phoneticPr fontId="1"/>
  </si>
  <si>
    <t>6300代ZZNR</t>
    <rPh sb="4" eb="5">
      <t>ダイ</t>
    </rPh>
    <phoneticPr fontId="1"/>
  </si>
  <si>
    <t>BE58</t>
    <phoneticPr fontId="1"/>
  </si>
  <si>
    <t>6800代ZZNR</t>
    <rPh sb="4" eb="5">
      <t>ダイ</t>
    </rPh>
    <phoneticPr fontId="1"/>
  </si>
  <si>
    <t>BE59</t>
    <phoneticPr fontId="1"/>
  </si>
  <si>
    <t>6900代ZZNR</t>
    <rPh sb="4" eb="5">
      <t>ダイ</t>
    </rPh>
    <phoneticPr fontId="1"/>
  </si>
  <si>
    <t>BE60</t>
    <phoneticPr fontId="1"/>
  </si>
  <si>
    <t>7000代BWDB</t>
    <rPh sb="4" eb="5">
      <t>ダイ</t>
    </rPh>
    <phoneticPr fontId="1"/>
  </si>
  <si>
    <t>BE61</t>
    <phoneticPr fontId="1"/>
  </si>
  <si>
    <t>7200代BWDB</t>
    <rPh sb="4" eb="5">
      <t>ダイ</t>
    </rPh>
    <phoneticPr fontId="1"/>
  </si>
  <si>
    <t>BE62</t>
    <phoneticPr fontId="1"/>
  </si>
  <si>
    <t>7300代BWDB</t>
    <rPh sb="4" eb="5">
      <t>ダイ</t>
    </rPh>
    <phoneticPr fontId="1"/>
  </si>
  <si>
    <t>BE63</t>
    <phoneticPr fontId="1"/>
  </si>
  <si>
    <t>5200代</t>
    <rPh sb="4" eb="5">
      <t>ダイ</t>
    </rPh>
    <phoneticPr fontId="1"/>
  </si>
  <si>
    <t>BE64</t>
    <phoneticPr fontId="1"/>
  </si>
  <si>
    <t>5300代</t>
    <rPh sb="4" eb="5">
      <t>ダイ</t>
    </rPh>
    <phoneticPr fontId="1"/>
  </si>
  <si>
    <t>BE65</t>
    <phoneticPr fontId="1"/>
  </si>
  <si>
    <t>1200代</t>
    <rPh sb="4" eb="5">
      <t>ダイ</t>
    </rPh>
    <phoneticPr fontId="1"/>
  </si>
  <si>
    <t>1200代K</t>
    <rPh sb="4" eb="5">
      <t>ダイ</t>
    </rPh>
    <phoneticPr fontId="1"/>
  </si>
  <si>
    <t>BE66</t>
    <phoneticPr fontId="1"/>
  </si>
  <si>
    <t>BE67</t>
    <phoneticPr fontId="1"/>
  </si>
  <si>
    <t>1300代</t>
    <rPh sb="4" eb="5">
      <t>ダイ</t>
    </rPh>
    <phoneticPr fontId="1"/>
  </si>
  <si>
    <t>BE68</t>
    <phoneticPr fontId="1"/>
  </si>
  <si>
    <t>1300代K</t>
    <rPh sb="4" eb="5">
      <t>ダイ</t>
    </rPh>
    <phoneticPr fontId="1"/>
  </si>
  <si>
    <t>BE69</t>
    <phoneticPr fontId="1"/>
  </si>
  <si>
    <t>2200代</t>
    <rPh sb="4" eb="5">
      <t>ダイ</t>
    </rPh>
    <phoneticPr fontId="1"/>
  </si>
  <si>
    <t>BE70</t>
    <phoneticPr fontId="1"/>
  </si>
  <si>
    <t>2200代K</t>
    <rPh sb="4" eb="5">
      <t>ダイ</t>
    </rPh>
    <phoneticPr fontId="1"/>
  </si>
  <si>
    <t>BE71</t>
    <phoneticPr fontId="1"/>
  </si>
  <si>
    <t>2300代</t>
    <rPh sb="4" eb="5">
      <t>ダイ</t>
    </rPh>
    <phoneticPr fontId="1"/>
  </si>
  <si>
    <t>BE72</t>
    <phoneticPr fontId="1"/>
  </si>
  <si>
    <t>2300代K</t>
    <rPh sb="4" eb="5">
      <t>ダイ</t>
    </rPh>
    <phoneticPr fontId="1"/>
  </si>
  <si>
    <t>BE73</t>
    <phoneticPr fontId="1"/>
  </si>
  <si>
    <t>51100代</t>
    <rPh sb="5" eb="6">
      <t>ダイ</t>
    </rPh>
    <phoneticPr fontId="1"/>
  </si>
  <si>
    <t>BE74</t>
    <phoneticPr fontId="1"/>
  </si>
  <si>
    <t>51200代</t>
    <rPh sb="5" eb="6">
      <t>ダイ</t>
    </rPh>
    <phoneticPr fontId="1"/>
  </si>
  <si>
    <t>BE75</t>
    <phoneticPr fontId="1"/>
  </si>
  <si>
    <t>51300代</t>
    <rPh sb="5" eb="6">
      <t>ダイ</t>
    </rPh>
    <phoneticPr fontId="1"/>
  </si>
  <si>
    <t>BE76</t>
    <phoneticPr fontId="1"/>
  </si>
  <si>
    <t>51400代</t>
    <rPh sb="5" eb="6">
      <t>ダイ</t>
    </rPh>
    <phoneticPr fontId="1"/>
  </si>
  <si>
    <t>BE77</t>
    <phoneticPr fontId="1"/>
  </si>
  <si>
    <t>NU200代W</t>
    <rPh sb="5" eb="6">
      <t>ダイ</t>
    </rPh>
    <phoneticPr fontId="1"/>
  </si>
  <si>
    <t>BE78</t>
    <phoneticPr fontId="1"/>
  </si>
  <si>
    <t>NU200代M</t>
    <rPh sb="5" eb="6">
      <t>ダイ</t>
    </rPh>
    <phoneticPr fontId="1"/>
  </si>
  <si>
    <t>BE79</t>
    <phoneticPr fontId="1"/>
  </si>
  <si>
    <t>NU300代W</t>
    <rPh sb="5" eb="6">
      <t>ダイ</t>
    </rPh>
    <phoneticPr fontId="1"/>
  </si>
  <si>
    <t>BE80</t>
    <phoneticPr fontId="1"/>
  </si>
  <si>
    <t>NU300代M</t>
    <rPh sb="5" eb="6">
      <t>ダイ</t>
    </rPh>
    <phoneticPr fontId="1"/>
  </si>
  <si>
    <t>BE81</t>
    <phoneticPr fontId="1"/>
  </si>
  <si>
    <t>NU400代W</t>
    <rPh sb="5" eb="6">
      <t>ダイ</t>
    </rPh>
    <phoneticPr fontId="1"/>
  </si>
  <si>
    <t>BE82</t>
    <phoneticPr fontId="1"/>
  </si>
  <si>
    <t>NU400代M</t>
    <rPh sb="5" eb="6">
      <t>ダイ</t>
    </rPh>
    <phoneticPr fontId="1"/>
  </si>
  <si>
    <t>BE83</t>
    <phoneticPr fontId="1"/>
  </si>
  <si>
    <t>BE84</t>
    <phoneticPr fontId="1"/>
  </si>
  <si>
    <t>NU1000代M</t>
    <rPh sb="6" eb="7">
      <t>ダイ</t>
    </rPh>
    <phoneticPr fontId="1"/>
  </si>
  <si>
    <t>BE85</t>
    <phoneticPr fontId="1"/>
  </si>
  <si>
    <t>BE86</t>
    <phoneticPr fontId="1"/>
  </si>
  <si>
    <t>NU2200代W</t>
    <rPh sb="6" eb="7">
      <t>ダイ</t>
    </rPh>
    <phoneticPr fontId="1"/>
  </si>
  <si>
    <t>NU2200代M</t>
    <rPh sb="6" eb="7">
      <t>ダイ</t>
    </rPh>
    <phoneticPr fontId="1"/>
  </si>
  <si>
    <t>NU2300代W</t>
    <rPh sb="6" eb="7">
      <t>ダイ</t>
    </rPh>
    <phoneticPr fontId="1"/>
  </si>
  <si>
    <t>BE87</t>
    <phoneticPr fontId="1"/>
  </si>
  <si>
    <t>NU2300代M</t>
    <rPh sb="6" eb="7">
      <t>ダイ</t>
    </rPh>
    <phoneticPr fontId="1"/>
  </si>
  <si>
    <t>BE88</t>
    <phoneticPr fontId="1"/>
  </si>
  <si>
    <t>HR30200代</t>
    <rPh sb="7" eb="8">
      <t>ダイ</t>
    </rPh>
    <phoneticPr fontId="1"/>
  </si>
  <si>
    <t>BE89</t>
    <phoneticPr fontId="1"/>
  </si>
  <si>
    <t>HR30300代</t>
    <rPh sb="7" eb="8">
      <t>ダイ</t>
    </rPh>
    <phoneticPr fontId="1"/>
  </si>
  <si>
    <t>BE90</t>
    <phoneticPr fontId="1"/>
  </si>
  <si>
    <t>HR32000代</t>
    <rPh sb="7" eb="8">
      <t>ダイ</t>
    </rPh>
    <phoneticPr fontId="1"/>
  </si>
  <si>
    <t>BE91</t>
    <phoneticPr fontId="1"/>
  </si>
  <si>
    <t>HR32200代</t>
    <rPh sb="7" eb="8">
      <t>ダイ</t>
    </rPh>
    <phoneticPr fontId="1"/>
  </si>
  <si>
    <t>BE92</t>
    <phoneticPr fontId="1"/>
  </si>
  <si>
    <t>HR32300代</t>
    <rPh sb="7" eb="8">
      <t>ダイ</t>
    </rPh>
    <phoneticPr fontId="1"/>
  </si>
  <si>
    <t>BE93</t>
    <phoneticPr fontId="1"/>
  </si>
  <si>
    <t>21300代</t>
    <rPh sb="5" eb="6">
      <t>ダイ</t>
    </rPh>
    <phoneticPr fontId="1"/>
  </si>
  <si>
    <t>BE94</t>
    <phoneticPr fontId="1"/>
  </si>
  <si>
    <t>21300代K</t>
    <rPh sb="5" eb="6">
      <t>ダイ</t>
    </rPh>
    <phoneticPr fontId="1"/>
  </si>
  <si>
    <t>BE95</t>
    <phoneticPr fontId="1"/>
  </si>
  <si>
    <t>21300代M</t>
    <rPh sb="5" eb="6">
      <t>ダイ</t>
    </rPh>
    <phoneticPr fontId="1"/>
  </si>
  <si>
    <t>BE96</t>
    <phoneticPr fontId="1"/>
  </si>
  <si>
    <t>22200代</t>
    <rPh sb="5" eb="6">
      <t>ダイ</t>
    </rPh>
    <phoneticPr fontId="1"/>
  </si>
  <si>
    <t>BE97</t>
    <phoneticPr fontId="1"/>
  </si>
  <si>
    <t>22200代M</t>
    <rPh sb="5" eb="6">
      <t>ダイ</t>
    </rPh>
    <phoneticPr fontId="1"/>
  </si>
  <si>
    <t>BE98</t>
    <phoneticPr fontId="1"/>
  </si>
  <si>
    <t>22300代</t>
    <rPh sb="5" eb="6">
      <t>ダイ</t>
    </rPh>
    <phoneticPr fontId="1"/>
  </si>
  <si>
    <t>BE99</t>
    <phoneticPr fontId="1"/>
  </si>
  <si>
    <t>22300代K</t>
    <rPh sb="5" eb="6">
      <t>ダイ</t>
    </rPh>
    <phoneticPr fontId="1"/>
  </si>
  <si>
    <t>BE100</t>
    <phoneticPr fontId="1"/>
  </si>
  <si>
    <t>22300代M</t>
    <rPh sb="5" eb="6">
      <t>ダイ</t>
    </rPh>
    <phoneticPr fontId="1"/>
  </si>
  <si>
    <t>BE101</t>
    <phoneticPr fontId="1"/>
  </si>
  <si>
    <t>23000代</t>
    <rPh sb="5" eb="6">
      <t>ダイ</t>
    </rPh>
    <phoneticPr fontId="1"/>
  </si>
  <si>
    <t>BE102</t>
    <phoneticPr fontId="1"/>
  </si>
  <si>
    <t>23000代M</t>
    <rPh sb="5" eb="6">
      <t>ダイ</t>
    </rPh>
    <phoneticPr fontId="1"/>
  </si>
  <si>
    <t>BE103</t>
    <phoneticPr fontId="1"/>
  </si>
  <si>
    <t>23100代</t>
    <rPh sb="5" eb="6">
      <t>ダイ</t>
    </rPh>
    <phoneticPr fontId="1"/>
  </si>
  <si>
    <t>BE104</t>
    <phoneticPr fontId="1"/>
  </si>
  <si>
    <t>23100代M</t>
    <rPh sb="5" eb="6">
      <t>ダイ</t>
    </rPh>
    <phoneticPr fontId="1"/>
  </si>
  <si>
    <t>BE105</t>
    <phoneticPr fontId="1"/>
  </si>
  <si>
    <t>23200代</t>
    <rPh sb="5" eb="6">
      <t>ダイ</t>
    </rPh>
    <phoneticPr fontId="1"/>
  </si>
  <si>
    <t>BE106</t>
    <phoneticPr fontId="1"/>
  </si>
  <si>
    <t>23200代M</t>
    <rPh sb="5" eb="6">
      <t>ダイ</t>
    </rPh>
    <phoneticPr fontId="1"/>
  </si>
  <si>
    <t>BE107</t>
    <phoneticPr fontId="1"/>
  </si>
  <si>
    <t>BE108</t>
    <phoneticPr fontId="1"/>
  </si>
  <si>
    <t>29200代M</t>
    <rPh sb="5" eb="6">
      <t>ダイ</t>
    </rPh>
    <phoneticPr fontId="1"/>
  </si>
  <si>
    <t>29300代</t>
    <rPh sb="5" eb="6">
      <t>ダイ</t>
    </rPh>
    <phoneticPr fontId="1"/>
  </si>
  <si>
    <t>BE109</t>
    <phoneticPr fontId="1"/>
  </si>
  <si>
    <t>29300代M</t>
    <rPh sb="5" eb="6">
      <t>ダイ</t>
    </rPh>
    <phoneticPr fontId="1"/>
  </si>
  <si>
    <t>BE110</t>
    <phoneticPr fontId="1"/>
  </si>
  <si>
    <t>29400代</t>
    <rPh sb="5" eb="6">
      <t>ダイ</t>
    </rPh>
    <phoneticPr fontId="1"/>
  </si>
  <si>
    <t>BE111</t>
    <phoneticPr fontId="1"/>
  </si>
  <si>
    <t>29400代M</t>
    <rPh sb="5" eb="6">
      <t>ダイ</t>
    </rPh>
    <phoneticPr fontId="1"/>
  </si>
  <si>
    <t>BE112</t>
    <phoneticPr fontId="1"/>
  </si>
  <si>
    <t>NOK</t>
    <phoneticPr fontId="1"/>
  </si>
  <si>
    <t>C10</t>
    <phoneticPr fontId="1"/>
  </si>
  <si>
    <t>BI</t>
    <phoneticPr fontId="1"/>
  </si>
  <si>
    <t>ER</t>
    <phoneticPr fontId="1"/>
  </si>
  <si>
    <t>CKD</t>
    <phoneticPr fontId="1"/>
  </si>
  <si>
    <t>特値先別掛率</t>
    <rPh sb="0" eb="2">
      <t>トクネ</t>
    </rPh>
    <rPh sb="2" eb="3">
      <t>サキ</t>
    </rPh>
    <rPh sb="3" eb="4">
      <t>ベツ</t>
    </rPh>
    <rPh sb="4" eb="6">
      <t>カケリツ</t>
    </rPh>
    <phoneticPr fontId="1"/>
  </si>
  <si>
    <t>特値先ｺｰﾄﾞ</t>
    <rPh sb="0" eb="2">
      <t>トクネ</t>
    </rPh>
    <rPh sb="2" eb="3">
      <t>サキ</t>
    </rPh>
    <phoneticPr fontId="1"/>
  </si>
  <si>
    <t>特値先</t>
    <rPh sb="0" eb="2">
      <t>トクネ</t>
    </rPh>
    <rPh sb="2" eb="3">
      <t>サキ</t>
    </rPh>
    <phoneticPr fontId="1"/>
  </si>
  <si>
    <t>914083</t>
    <phoneticPr fontId="1"/>
  </si>
  <si>
    <t>911166</t>
    <phoneticPr fontId="1"/>
  </si>
  <si>
    <t>旭有機材</t>
    <rPh sb="0" eb="4">
      <t>アサヒユウキザイ</t>
    </rPh>
    <phoneticPr fontId="1"/>
  </si>
  <si>
    <t>932023</t>
    <phoneticPr fontId="1"/>
  </si>
  <si>
    <t>945058</t>
    <phoneticPr fontId="1"/>
  </si>
  <si>
    <t>✓</t>
    <phoneticPr fontId="1"/>
  </si>
  <si>
    <t>ﾌﾞﾗｹｯﾄ</t>
    <phoneticPr fontId="1"/>
  </si>
  <si>
    <t>1列U</t>
    <rPh sb="1" eb="2">
      <t>レツ</t>
    </rPh>
    <phoneticPr fontId="1"/>
  </si>
  <si>
    <t>2列U</t>
    <rPh sb="1" eb="2">
      <t>レツ</t>
    </rPh>
    <phoneticPr fontId="1"/>
  </si>
  <si>
    <t>ｽﾃﾝﾚｽ1列U</t>
    <rPh sb="6" eb="7">
      <t>レツ</t>
    </rPh>
    <phoneticPr fontId="1"/>
  </si>
  <si>
    <t>1列JL</t>
    <rPh sb="1" eb="2">
      <t>レツ</t>
    </rPh>
    <phoneticPr fontId="1"/>
  </si>
  <si>
    <t>1列OL</t>
    <rPh sb="1" eb="2">
      <t>レツ</t>
    </rPh>
    <phoneticPr fontId="1"/>
  </si>
  <si>
    <t>2列JL</t>
    <rPh sb="1" eb="2">
      <t>レツ</t>
    </rPh>
    <phoneticPr fontId="1"/>
  </si>
  <si>
    <t>2列OL</t>
    <rPh sb="1" eb="2">
      <t>レツ</t>
    </rPh>
    <phoneticPr fontId="1"/>
  </si>
  <si>
    <t>K1-JL</t>
    <phoneticPr fontId="1"/>
  </si>
  <si>
    <t>A1-JL</t>
    <phoneticPr fontId="1"/>
  </si>
  <si>
    <t>ｽﾃﾝﾚｽ1列JL</t>
    <rPh sb="6" eb="7">
      <t>レツ</t>
    </rPh>
    <phoneticPr fontId="1"/>
  </si>
  <si>
    <t>ｽﾃﾝﾚｽ1列OL</t>
    <rPh sb="6" eb="7">
      <t>レツ</t>
    </rPh>
    <phoneticPr fontId="1"/>
  </si>
  <si>
    <t>ﾗﾑﾀﾞ1列U</t>
    <rPh sb="5" eb="6">
      <t>レツ</t>
    </rPh>
    <phoneticPr fontId="1"/>
  </si>
  <si>
    <t>ﾗﾑﾀﾞ1列JL</t>
    <rPh sb="5" eb="7">
      <t>ＪＬ</t>
    </rPh>
    <phoneticPr fontId="1"/>
  </si>
  <si>
    <t>ﾗﾑﾀﾞ1列OL</t>
    <rPh sb="5" eb="6">
      <t>レツ</t>
    </rPh>
    <phoneticPr fontId="1"/>
  </si>
  <si>
    <t>本体+ﾁｪｰﾝ</t>
    <rPh sb="0" eb="2">
      <t>ホンタイ</t>
    </rPh>
    <phoneticPr fontId="1"/>
  </si>
  <si>
    <t>ｹｰｽのみ</t>
    <phoneticPr fontId="1"/>
  </si>
  <si>
    <t>PVC</t>
    <phoneticPr fontId="1"/>
  </si>
  <si>
    <t>T36</t>
    <phoneticPr fontId="1"/>
  </si>
  <si>
    <t>T37</t>
    <phoneticPr fontId="1"/>
  </si>
  <si>
    <t>VU</t>
    <phoneticPr fontId="1"/>
  </si>
  <si>
    <t>定価引用先</t>
    <rPh sb="0" eb="2">
      <t>テイカ</t>
    </rPh>
    <rPh sb="2" eb="4">
      <t>インヨウ</t>
    </rPh>
    <rPh sb="4" eb="5">
      <t>サキ</t>
    </rPh>
    <phoneticPr fontId="1"/>
  </si>
  <si>
    <t>BK</t>
    <phoneticPr fontId="1"/>
  </si>
  <si>
    <t>AZ</t>
    <phoneticPr fontId="1"/>
  </si>
  <si>
    <t>BF</t>
    <phoneticPr fontId="1"/>
  </si>
  <si>
    <t>BV</t>
    <phoneticPr fontId="1"/>
  </si>
  <si>
    <t>BW</t>
    <phoneticPr fontId="1"/>
  </si>
  <si>
    <t>BX</t>
    <phoneticPr fontId="1"/>
  </si>
  <si>
    <t>BY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</si>
</sst>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m/d;@"/>
    <numFmt numFmtId="178" formatCode="#,##0.0;[Red]\-#,##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.5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2" fillId="2" borderId="0" xfId="1" applyFont="1" applyFill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38" fontId="5" fillId="6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quotePrefix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left" vertical="center"/>
    </xf>
    <xf numFmtId="38" fontId="8" fillId="6" borderId="2" xfId="1" applyFont="1" applyFill="1" applyBorder="1" applyAlignment="1">
      <alignment horizontal="center" vertical="center"/>
    </xf>
    <xf numFmtId="38" fontId="2" fillId="3" borderId="2" xfId="1" applyFont="1" applyFill="1" applyBorder="1" applyAlignment="1">
      <alignment horizontal="center" vertical="center"/>
    </xf>
    <xf numFmtId="38" fontId="2" fillId="3" borderId="0" xfId="1" applyFont="1" applyFill="1" applyBorder="1" applyAlignment="1">
      <alignment horizontal="center" vertical="center"/>
    </xf>
    <xf numFmtId="38" fontId="2" fillId="3" borderId="7" xfId="1" applyFont="1" applyFill="1" applyBorder="1" applyAlignment="1">
      <alignment horizontal="center" vertical="center"/>
    </xf>
    <xf numFmtId="38" fontId="2" fillId="3" borderId="0" xfId="1" applyFont="1" applyFill="1">
      <alignment vertical="center"/>
    </xf>
    <xf numFmtId="38" fontId="2" fillId="4" borderId="2" xfId="1" applyFont="1" applyFill="1" applyBorder="1" applyAlignment="1">
      <alignment horizontal="center" vertical="center"/>
    </xf>
    <xf numFmtId="38" fontId="2" fillId="4" borderId="0" xfId="1" applyFont="1" applyFill="1" applyBorder="1" applyAlignment="1">
      <alignment horizontal="center" vertical="center"/>
    </xf>
    <xf numFmtId="38" fontId="2" fillId="4" borderId="7" xfId="1" applyFont="1" applyFill="1" applyBorder="1" applyAlignment="1">
      <alignment horizontal="center" vertical="center"/>
    </xf>
    <xf numFmtId="38" fontId="2" fillId="4" borderId="0" xfId="1" applyFont="1" applyFill="1">
      <alignment vertical="center"/>
    </xf>
    <xf numFmtId="38" fontId="2" fillId="5" borderId="2" xfId="1" applyFont="1" applyFill="1" applyBorder="1" applyAlignment="1">
      <alignment horizontal="center" vertical="center"/>
    </xf>
    <xf numFmtId="38" fontId="2" fillId="5" borderId="0" xfId="1" applyFont="1" applyFill="1" applyBorder="1" applyAlignment="1">
      <alignment horizontal="center" vertical="center"/>
    </xf>
    <xf numFmtId="38" fontId="2" fillId="5" borderId="7" xfId="1" applyFont="1" applyFill="1" applyBorder="1" applyAlignment="1">
      <alignment horizontal="center" vertical="center"/>
    </xf>
    <xf numFmtId="38" fontId="2" fillId="5" borderId="0" xfId="1" applyFont="1" applyFill="1">
      <alignment vertical="center"/>
    </xf>
    <xf numFmtId="14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38" fontId="4" fillId="2" borderId="3" xfId="1" applyFont="1" applyFill="1" applyBorder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2" borderId="8" xfId="1" applyFont="1" applyFill="1" applyBorder="1" applyAlignment="1">
      <alignment horizontal="center" vertical="center"/>
    </xf>
    <xf numFmtId="176" fontId="2" fillId="2" borderId="0" xfId="1" applyNumberFormat="1" applyFont="1" applyFill="1">
      <alignment vertical="center"/>
    </xf>
    <xf numFmtId="0" fontId="5" fillId="6" borderId="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0" xfId="0" quotePrefix="1">
      <alignment vertical="center"/>
    </xf>
    <xf numFmtId="178" fontId="8" fillId="6" borderId="2" xfId="1" applyNumberFormat="1" applyFont="1" applyFill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2" borderId="4" xfId="1" applyNumberFormat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>
      <alignment vertical="center"/>
    </xf>
    <xf numFmtId="0" fontId="0" fillId="0" borderId="15" xfId="0" applyBorder="1">
      <alignment vertical="center"/>
    </xf>
    <xf numFmtId="0" fontId="9" fillId="3" borderId="15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5" xfId="0" applyFont="1" applyBorder="1">
      <alignment vertical="center"/>
    </xf>
    <xf numFmtId="38" fontId="2" fillId="2" borderId="2" xfId="1" applyFont="1" applyFill="1" applyBorder="1" applyAlignment="1"/>
    <xf numFmtId="38" fontId="2" fillId="2" borderId="0" xfId="1" applyFont="1" applyFill="1" applyBorder="1" applyAlignment="1"/>
    <xf numFmtId="38" fontId="2" fillId="2" borderId="7" xfId="1" applyFont="1" applyFill="1" applyBorder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5" fillId="6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8" borderId="0" xfId="0" applyFill="1">
      <alignment vertical="center"/>
    </xf>
    <xf numFmtId="0" fontId="2" fillId="3" borderId="0" xfId="0" applyFont="1" applyFill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200"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8CB51E2-C237-4112-8AA8-120CF3B47E53}" autoFormatId="20" applyNumberFormats="0" applyBorderFormats="0" applyFontFormats="0" applyPatternFormats="0" applyAlignmentFormats="0" applyWidthHeightFormats="0">
  <queryTableRefresh headersInLastRefresh="0" nextId="159" unboundColumnsRight="1">
    <queryTableFields count="1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dataBound="0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AFE67-AEE9-47BF-A064-34010DFB6162}" name="商品マスタ" displayName="商品マスタ" ref="A1:FB4" tableType="queryTable" headerRowCount="0" totalsRowCount="1" headerRowDxfId="199" dataDxfId="198" totalsRowDxfId="197">
  <tableColumns count="158">
    <tableColumn id="1" xr3:uid="{4903AD15-8879-42FD-A521-FD0CDC7CAA91}" uniqueName="1" name="Column1" queryTableFieldId="1" dataDxfId="196"/>
    <tableColumn id="2" xr3:uid="{C3BC56B7-54C0-4C12-8519-98D9379DF51C}" uniqueName="2" name="Column2" queryTableFieldId="2" dataDxfId="195"/>
    <tableColumn id="3" xr3:uid="{3A3F6CB8-D11A-4717-9FA1-017253AD4C56}" uniqueName="3" name="Column3" totalsRowLabel="P" queryTableFieldId="3" headerRowDxfId="194" dataDxfId="193" totalsRowDxfId="192"/>
    <tableColumn id="4" xr3:uid="{75F184B6-2CD7-4B11-9802-EE6A6C086AF6}" uniqueName="4" name="Column4" queryTableFieldId="4" dataDxfId="191"/>
    <tableColumn id="5" xr3:uid="{84862AAA-C489-432B-9D98-6D9133D85DA6}" uniqueName="5" name="Column5" totalsRowLabel="R" queryTableFieldId="5" headerRowDxfId="190" dataDxfId="189" totalsRowDxfId="188"/>
    <tableColumn id="6" xr3:uid="{2DCA07B8-0743-4903-A4D6-D5BEEF8C9A06}" uniqueName="6" name="Column6" totalsRowLabel="V" queryTableFieldId="6" headerRowDxfId="187" dataDxfId="186" totalsRowDxfId="185"/>
    <tableColumn id="7" xr3:uid="{0FB0F3AA-EE2B-491D-9B67-87397763A013}" uniqueName="7" name="Column7" totalsRowLabel="AG" queryTableFieldId="7" headerRowDxfId="184" dataDxfId="183" totalsRowDxfId="182"/>
    <tableColumn id="8" xr3:uid="{C06E40C8-97CE-4A84-A8C2-7F12B7E78677}" uniqueName="8" name="Column8" queryTableFieldId="8" dataDxfId="181"/>
    <tableColumn id="9" xr3:uid="{A66791CC-CB61-484D-B814-5EBDB6A91379}" uniqueName="9" name="Column9" queryTableFieldId="9" dataDxfId="180"/>
    <tableColumn id="10" xr3:uid="{6F228D55-5B42-4B0D-81E8-F5B416080449}" uniqueName="10" name="Column10" totalsRowLabel="AK" queryTableFieldId="10" headerRowDxfId="179" dataDxfId="178" totalsRowDxfId="177"/>
    <tableColumn id="11" xr3:uid="{08E2B622-DE38-4E41-8B0B-A644BE41DC36}" uniqueName="11" name="Column11" queryTableFieldId="11" dataDxfId="176"/>
    <tableColumn id="12" xr3:uid="{91EED683-223D-4629-8118-94992BBFF298}" uniqueName="12" name="Column12" queryTableFieldId="12" dataDxfId="175"/>
    <tableColumn id="13" xr3:uid="{406C39DB-BF4E-4EF3-A95E-92738702F6AB}" uniqueName="13" name="Column13" totalsRowLabel="BK" queryTableFieldId="13" headerRowDxfId="174" dataDxfId="173" totalsRowDxfId="172"/>
    <tableColumn id="14" xr3:uid="{44BB03CF-FEA1-4DD5-859A-2A664880C1AB}" uniqueName="14" name="Column14" queryTableFieldId="14" dataDxfId="171"/>
    <tableColumn id="15" xr3:uid="{2713276C-94E2-465B-B7B2-94069B724699}" uniqueName="15" name="Column15" queryTableFieldId="15" dataDxfId="170"/>
    <tableColumn id="16" xr3:uid="{47AE599C-8509-4519-AA52-17722E504461}" uniqueName="16" name="Column16" queryTableFieldId="16" dataDxfId="169"/>
    <tableColumn id="17" xr3:uid="{E94C0A61-3892-495F-96DE-9DAB8DC78395}" uniqueName="17" name="Column17" totalsRowLabel="B" queryTableFieldId="17" headerRowDxfId="168" dataDxfId="167" totalsRowDxfId="166"/>
    <tableColumn id="18" xr3:uid="{A82DEA65-3285-41EE-83AB-BB325CF79B9B}" uniqueName="18" name="Column18" queryTableFieldId="18" dataDxfId="165"/>
    <tableColumn id="19" xr3:uid="{F841EFE9-0C3C-4081-8AF2-DA726871C277}" uniqueName="19" name="Column19" totalsRowLabel="D" queryTableFieldId="19" headerRowDxfId="164" dataDxfId="163" totalsRowDxfId="162"/>
    <tableColumn id="20" xr3:uid="{D7F42607-5BC6-45D0-937B-C6BB86841F81}" uniqueName="20" name="Column20" queryTableFieldId="20" dataDxfId="161"/>
    <tableColumn id="21" xr3:uid="{1C8A535A-02B5-4B9C-9F47-515E452C8E5D}" uniqueName="21" name="Column21" totalsRowLabel="F" queryTableFieldId="21" headerRowDxfId="160" dataDxfId="159" totalsRowDxfId="158"/>
    <tableColumn id="22" xr3:uid="{948B1DDF-3620-42F8-A675-3FD550BA3AC8}" uniqueName="22" name="Column22" queryTableFieldId="22" dataDxfId="157"/>
    <tableColumn id="23" xr3:uid="{2B6D0F8D-0005-4C15-9724-4A25EE8C5388}" uniqueName="23" name="Column23" queryTableFieldId="23" dataDxfId="156"/>
    <tableColumn id="24" xr3:uid="{BF921EDC-55EF-42E9-B49B-97FD3F059091}" uniqueName="24" name="Column24" queryTableFieldId="24" dataDxfId="155"/>
    <tableColumn id="25" xr3:uid="{8DBFD718-C6E5-40A5-BF16-591BA0E9A95F}" uniqueName="25" name="Column25" queryTableFieldId="25" dataDxfId="154"/>
    <tableColumn id="26" xr3:uid="{CA198922-6E13-4A5F-A2EB-8DDC084CE485}" uniqueName="26" name="Column26" totalsRowLabel="AN" queryTableFieldId="26" headerRowDxfId="153" dataDxfId="152" totalsRowDxfId="151"/>
    <tableColumn id="27" xr3:uid="{BDD5BF49-1CBB-414D-ABD1-E9EB0A199D9C}" uniqueName="27" name="Column27" queryTableFieldId="27" dataDxfId="150"/>
    <tableColumn id="28" xr3:uid="{1CC66957-6700-4B82-922C-F5231FDFF7E9}" uniqueName="28" name="Column28" queryTableFieldId="28" dataDxfId="149"/>
    <tableColumn id="29" xr3:uid="{02CB4E26-10FD-4BD4-B864-3E8D2789F0E8}" uniqueName="29" name="Column29" queryTableFieldId="29" dataDxfId="148"/>
    <tableColumn id="30" xr3:uid="{CF1D3B3A-EBAB-4D84-BBB6-48737A9627B9}" uniqueName="30" name="Column30" queryTableFieldId="30" dataDxfId="147"/>
    <tableColumn id="31" xr3:uid="{4DAAC076-E6A4-4894-9354-E4571B917967}" uniqueName="31" name="Column31" totalsRowLabel="AM" queryTableFieldId="31" headerRowDxfId="146" dataDxfId="145" totalsRowDxfId="144"/>
    <tableColumn id="32" xr3:uid="{52EE58E3-8A1C-4820-9AE2-B73BD865B50F}" uniqueName="32" name="Column32" queryTableFieldId="32" dataDxfId="143"/>
    <tableColumn id="33" xr3:uid="{2A9D6CB2-2FB1-49F9-BE52-1295A1A11E90}" uniqueName="33" name="Column33" queryTableFieldId="33" dataDxfId="142"/>
    <tableColumn id="34" xr3:uid="{A01C3EAD-8146-4C01-AAA5-7F1B4E2ACEC7}" uniqueName="34" name="Column34" queryTableFieldId="34" dataDxfId="141"/>
    <tableColumn id="35" xr3:uid="{28C09A54-934A-412E-9CDC-88C2F6EE6446}" uniqueName="35" name="Column35" queryTableFieldId="35" dataDxfId="140"/>
    <tableColumn id="36" xr3:uid="{525BA5B3-195C-4EBD-80C4-2408534DE82F}" uniqueName="36" name="Column36" totalsRowLabel="AS" queryTableFieldId="36" dataDxfId="139"/>
    <tableColumn id="37" xr3:uid="{5E227F97-6F4A-41E3-856D-4BE8912373EC}" uniqueName="37" name="Column37" queryTableFieldId="37" dataDxfId="138"/>
    <tableColumn id="38" xr3:uid="{8FCC6461-897D-4D67-947F-4471844565B5}" uniqueName="38" name="Column38" queryTableFieldId="38" dataDxfId="137"/>
    <tableColumn id="39" xr3:uid="{B2059818-0364-40B9-A5F5-6894A426BDBC}" uniqueName="39" name="Column39" queryTableFieldId="39" dataDxfId="136"/>
    <tableColumn id="40" xr3:uid="{33BEAEBC-B6AE-409B-946B-FB2A9935A542}" uniqueName="40" name="Column40" queryTableFieldId="40" dataDxfId="135"/>
    <tableColumn id="41" xr3:uid="{747AE3AD-0362-45DA-A1D5-547833F15645}" uniqueName="41" name="Column41" totalsRowLabel="AU" queryTableFieldId="41" dataDxfId="134"/>
    <tableColumn id="42" xr3:uid="{298CEEED-E8DF-4BB5-9828-B8630F6C14DF}" uniqueName="42" name="Column42" queryTableFieldId="42" dataDxfId="133"/>
    <tableColumn id="43" xr3:uid="{48429C52-4682-4107-81E1-4CF1359014AA}" uniqueName="43" name="Column43" queryTableFieldId="43" dataDxfId="132"/>
    <tableColumn id="44" xr3:uid="{772A2508-DFEA-4AED-9D89-55E536ED820B}" uniqueName="44" name="Column44" queryTableFieldId="44" dataDxfId="131"/>
    <tableColumn id="45" xr3:uid="{CB30CDF8-DE6F-414B-AECF-458E77DF0A92}" uniqueName="45" name="Column45" queryTableFieldId="45" dataDxfId="130"/>
    <tableColumn id="46" xr3:uid="{198094FE-F706-4A18-8924-A3BD9D37821A}" uniqueName="46" name="Column46" totalsRowLabel="AW" queryTableFieldId="46" dataDxfId="129"/>
    <tableColumn id="47" xr3:uid="{053FE96E-45FD-43A2-9091-E293AA68820F}" uniqueName="47" name="Column47" queryTableFieldId="47" dataDxfId="128"/>
    <tableColumn id="48" xr3:uid="{2796F0E2-7E93-4C6A-8856-0D8BE2A28251}" uniqueName="48" name="Column48" queryTableFieldId="48" dataDxfId="127"/>
    <tableColumn id="49" xr3:uid="{1A28F4FF-6346-4B9A-BEB7-1B609C40EFE7}" uniqueName="49" name="Column49" queryTableFieldId="49" dataDxfId="126"/>
    <tableColumn id="50" xr3:uid="{EA6ADCB8-17D4-4969-B603-B7C498A0D742}" uniqueName="50" name="Column50" queryTableFieldId="50" dataDxfId="125"/>
    <tableColumn id="51" xr3:uid="{036222DC-14F8-44CA-99D5-55580BB07331}" uniqueName="51" name="Column51" totalsRowLabel="AZ" queryTableFieldId="51" dataDxfId="124"/>
    <tableColumn id="52" xr3:uid="{96E35807-F30B-4193-BDC6-ACBF7FD1BCCB}" uniqueName="52" name="Column52" queryTableFieldId="52" dataDxfId="123"/>
    <tableColumn id="53" xr3:uid="{3C951F50-52C7-447C-97B1-BAF181205E5E}" uniqueName="53" name="Column53" queryTableFieldId="53" dataDxfId="122"/>
    <tableColumn id="54" xr3:uid="{1EFE941D-B421-4EF6-8EEE-CB240BA3ADAA}" uniqueName="54" name="Column54" queryTableFieldId="54" dataDxfId="121"/>
    <tableColumn id="55" xr3:uid="{179F9606-9DBE-401D-A424-A8E5CE39C73F}" uniqueName="55" name="Column55" queryTableFieldId="55" dataDxfId="120"/>
    <tableColumn id="56" xr3:uid="{3C2C4540-8ED9-4A31-8EA6-BF99226B8FA3}" uniqueName="56" name="Column56" totalsRowLabel="BC" queryTableFieldId="56" dataDxfId="119"/>
    <tableColumn id="57" xr3:uid="{D239F0E9-6763-453F-871E-171C0A10B9FD}" uniqueName="57" name="Column57" queryTableFieldId="57" dataDxfId="118"/>
    <tableColumn id="58" xr3:uid="{DB67F53A-9493-43BE-8BF5-7AED345F66A1}" uniqueName="58" name="Column58" queryTableFieldId="58" dataDxfId="117"/>
    <tableColumn id="59" xr3:uid="{F54D3248-8CC4-4912-9A9B-90E429F422BC}" uniqueName="59" name="Column59" queryTableFieldId="59" dataDxfId="116"/>
    <tableColumn id="60" xr3:uid="{74CCA750-F180-4E29-ADD9-C50A7EB95802}" uniqueName="60" name="Column60" queryTableFieldId="60" dataDxfId="115"/>
    <tableColumn id="61" xr3:uid="{A152BEEC-19D0-4687-A610-5C156412FFE4}" uniqueName="61" name="Column61" totalsRowLabel="BF" queryTableFieldId="61" dataDxfId="114"/>
    <tableColumn id="62" xr3:uid="{2848C758-86C2-4E5F-B344-9DF12EA0684F}" uniqueName="62" name="Column62" queryTableFieldId="62" dataDxfId="113"/>
    <tableColumn id="63" xr3:uid="{A2B32C61-9A0E-4E78-9400-D13182E1F069}" uniqueName="63" name="Column63" queryTableFieldId="63" dataDxfId="112"/>
    <tableColumn id="64" xr3:uid="{9D83DF1C-059A-4BA1-9B66-4FA0568EB368}" uniqueName="64" name="Column64" queryTableFieldId="64" dataDxfId="111"/>
    <tableColumn id="65" xr3:uid="{A150C046-5C93-47D8-A260-F23987AA5715}" uniqueName="65" name="Column65" queryTableFieldId="65" dataDxfId="110"/>
    <tableColumn id="66" xr3:uid="{ACCFFF9F-E7AE-44DD-98C2-2F7891A426CC}" uniqueName="66" name="Column66" totalsRowLabel="BI" queryTableFieldId="66" dataDxfId="109"/>
    <tableColumn id="67" xr3:uid="{C1A0A203-7BBB-46C1-8154-5A6D4D8AB59D}" uniqueName="67" name="Column67" queryTableFieldId="67" dataDxfId="108"/>
    <tableColumn id="68" xr3:uid="{7ACBC689-CCFB-4ADF-A121-0CA6F32975AC}" uniqueName="68" name="Column68" queryTableFieldId="68" dataDxfId="107"/>
    <tableColumn id="69" xr3:uid="{A505DB27-9380-4BF5-9B2F-F7CAFB4D8BCD}" uniqueName="69" name="Column69" queryTableFieldId="69" dataDxfId="106"/>
    <tableColumn id="70" xr3:uid="{476F390E-9358-49D6-BDD6-7A900B2E2553}" uniqueName="70" name="Column70" queryTableFieldId="70" dataDxfId="105"/>
    <tableColumn id="71" xr3:uid="{6BE6A04B-4BBA-4B2B-9E7F-B08C847BABBA}" uniqueName="71" name="Column71" queryTableFieldId="71" dataDxfId="104"/>
    <tableColumn id="72" xr3:uid="{A76BA8C1-A47B-4532-B8E9-C653AA076BA0}" uniqueName="72" name="Column72" queryTableFieldId="72" dataDxfId="103"/>
    <tableColumn id="73" xr3:uid="{4C6172EE-8FF1-4DC4-9F3D-DA43BDE930BD}" uniqueName="73" name="Column73" queryTableFieldId="73" dataDxfId="102"/>
    <tableColumn id="74" xr3:uid="{7188FC56-9475-4A8C-AA4A-EB76CFF41B18}" uniqueName="74" name="Column74" queryTableFieldId="74" dataDxfId="101"/>
    <tableColumn id="75" xr3:uid="{45BC42DF-A15B-46A8-9A5B-81CA52317CF6}" uniqueName="75" name="Column75" queryTableFieldId="75" dataDxfId="100"/>
    <tableColumn id="76" xr3:uid="{24972FAD-DEAE-4F62-A1F7-716202320327}" uniqueName="76" name="Column76" queryTableFieldId="76" dataDxfId="99"/>
    <tableColumn id="77" xr3:uid="{A1BFB594-1D15-464C-8D95-D8A953670262}" uniqueName="77" name="Column77" queryTableFieldId="77" dataDxfId="98"/>
    <tableColumn id="78" xr3:uid="{37E7DE2A-14CD-4FF3-B348-9A30638AB404}" uniqueName="78" name="Column78" queryTableFieldId="78" dataDxfId="97"/>
    <tableColumn id="79" xr3:uid="{F916A494-1CF0-41A3-AD01-55324D23B6CB}" uniqueName="79" name="Column79" queryTableFieldId="79" dataDxfId="96"/>
    <tableColumn id="80" xr3:uid="{8BCEA2E3-70D3-41B6-B95B-29FD51CEA685}" uniqueName="80" name="Column80" queryTableFieldId="80" dataDxfId="95"/>
    <tableColumn id="81" xr3:uid="{A2AA79E5-C41E-42A8-A340-148BD7860210}" uniqueName="81" name="Column81" queryTableFieldId="81" dataDxfId="94"/>
    <tableColumn id="82" xr3:uid="{61EBE096-FC3E-4B28-83C1-ED82F4B3D98C}" uniqueName="82" name="Column82" queryTableFieldId="82" dataDxfId="93"/>
    <tableColumn id="83" xr3:uid="{0DB22EE0-A36B-4B63-93A3-53E29DAEBED6}" uniqueName="83" name="Column83" queryTableFieldId="83" dataDxfId="92"/>
    <tableColumn id="84" xr3:uid="{BFC95319-8FD6-4531-9A58-0B02E107B9C0}" uniqueName="84" name="Column84" queryTableFieldId="84" dataDxfId="91"/>
    <tableColumn id="85" xr3:uid="{718D6DF2-4750-4FD8-AF1F-B4BE6B2A6574}" uniqueName="85" name="Column85" queryTableFieldId="85" dataDxfId="90"/>
    <tableColumn id="86" xr3:uid="{2405F0B9-E52A-49C3-81A0-04AFE27657D0}" uniqueName="86" name="Column86" queryTableFieldId="86" dataDxfId="89"/>
    <tableColumn id="87" xr3:uid="{2CFCD59E-C775-4CFC-82D3-7915A2220D34}" uniqueName="87" name="Column87" queryTableFieldId="87" dataDxfId="88"/>
    <tableColumn id="88" xr3:uid="{20445A6C-5705-4ED8-A107-CB4D959FE5CB}" uniqueName="88" name="Column88" queryTableFieldId="88" dataDxfId="87"/>
    <tableColumn id="89" xr3:uid="{252BDE59-9FDE-42B2-8527-2AA8283E6EA5}" uniqueName="89" name="Column89" queryTableFieldId="89" dataDxfId="86"/>
    <tableColumn id="90" xr3:uid="{745B49A8-3A49-4FA1-B300-F1D7349B3EE0}" uniqueName="90" name="Column90" queryTableFieldId="90" dataDxfId="85"/>
    <tableColumn id="91" xr3:uid="{28D0CC30-1547-4F2C-81EC-ED8710D0B530}" uniqueName="91" name="Column91" queryTableFieldId="91" dataDxfId="84"/>
    <tableColumn id="92" xr3:uid="{DCE0244E-5CE0-4909-B2D6-5BEE6F4A192B}" uniqueName="92" name="Column92" queryTableFieldId="92" dataDxfId="83"/>
    <tableColumn id="93" xr3:uid="{6350CC2A-38BA-4985-B2FF-241D8E0C7C72}" uniqueName="93" name="Column93" queryTableFieldId="93" dataDxfId="82"/>
    <tableColumn id="94" xr3:uid="{D2551C14-E2E5-49CE-B173-292B1BF3C02F}" uniqueName="94" name="Column94" queryTableFieldId="94" dataDxfId="81"/>
    <tableColumn id="95" xr3:uid="{8DBA234F-C195-49A7-823E-96A06D6E0EDB}" uniqueName="95" name="Column95" queryTableFieldId="95" dataDxfId="80"/>
    <tableColumn id="96" xr3:uid="{088390DA-CE3A-40F8-873F-1090556A8BB1}" uniqueName="96" name="Column96" queryTableFieldId="96" dataDxfId="79"/>
    <tableColumn id="97" xr3:uid="{2FE43D20-CCD9-453D-B67D-54B5333DA723}" uniqueName="97" name="Column97" queryTableFieldId="97" dataDxfId="78"/>
    <tableColumn id="98" xr3:uid="{BC53FFC6-477B-4397-9C85-67463F1450FE}" uniqueName="98" name="Column98" queryTableFieldId="98" dataDxfId="77"/>
    <tableColumn id="99" xr3:uid="{CDA0DD7B-AF1A-44B1-8AC3-D2CFCE038EB2}" uniqueName="99" name="Column99" queryTableFieldId="99" dataDxfId="76"/>
    <tableColumn id="100" xr3:uid="{67CAF17B-3206-4F45-BA39-B7BF9529D0E8}" uniqueName="100" name="Column100" queryTableFieldId="100" dataDxfId="75"/>
    <tableColumn id="101" xr3:uid="{DA717D2E-AE56-4CDE-ABFD-BB63F2313D29}" uniqueName="101" name="Column101" queryTableFieldId="101" dataDxfId="74"/>
    <tableColumn id="102" xr3:uid="{E22D4D8F-44BD-400A-83A1-8E21F8EFA439}" uniqueName="102" name="Column102" queryTableFieldId="102" dataDxfId="73"/>
    <tableColumn id="103" xr3:uid="{EA67D821-E3F6-492C-8659-00BA45DBBFB6}" uniqueName="103" name="Column103" queryTableFieldId="103" dataDxfId="72"/>
    <tableColumn id="104" xr3:uid="{6C0CC1F6-275B-49A6-9AAF-4EFC03F37A98}" uniqueName="104" name="Column104" queryTableFieldId="104" dataDxfId="71"/>
    <tableColumn id="105" xr3:uid="{D081F833-9937-478A-9152-2089A4C06E4E}" uniqueName="105" name="Column105" queryTableFieldId="105" dataDxfId="70"/>
    <tableColumn id="106" xr3:uid="{9C2E6605-476A-44CF-9C20-915BF6D943BA}" uniqueName="106" name="Column106" queryTableFieldId="106" dataDxfId="69"/>
    <tableColumn id="107" xr3:uid="{5BFC4C74-3BA4-4207-A155-39448B4C42E6}" uniqueName="107" name="Column107" queryTableFieldId="107" dataDxfId="68"/>
    <tableColumn id="108" xr3:uid="{6A702268-69C0-4356-AB3F-22E187DEA73C}" uniqueName="108" name="Column108" queryTableFieldId="108" dataDxfId="67"/>
    <tableColumn id="109" xr3:uid="{A476F3D7-9F82-43B0-B242-A376160DAA0A}" uniqueName="109" name="Column109" queryTableFieldId="109" dataDxfId="66"/>
    <tableColumn id="110" xr3:uid="{3CF3C211-B212-40B1-B6E6-F341A02FEA6E}" uniqueName="110" name="Column110" queryTableFieldId="110" dataDxfId="65"/>
    <tableColumn id="111" xr3:uid="{353516B0-D1CC-4BE7-B7A9-6DE8D86C3B23}" uniqueName="111" name="Column111" queryTableFieldId="111" dataDxfId="64"/>
    <tableColumn id="112" xr3:uid="{97CF556E-3F13-4069-B948-8BD603A63E55}" uniqueName="112" name="Column112" queryTableFieldId="112" dataDxfId="63"/>
    <tableColumn id="113" xr3:uid="{38D16053-4DBE-4B29-ADA8-F1C1C2521FB3}" uniqueName="113" name="Column113" queryTableFieldId="113" dataDxfId="62"/>
    <tableColumn id="114" xr3:uid="{9D9CD4DF-647F-4CB3-BAAF-8E21C6361A66}" uniqueName="114" name="Column114" queryTableFieldId="114" dataDxfId="61"/>
    <tableColumn id="115" xr3:uid="{CB82A06B-8D27-44BF-AC29-46657A16B475}" uniqueName="115" name="Column115" queryTableFieldId="115" dataDxfId="60"/>
    <tableColumn id="116" xr3:uid="{4A780BD9-C666-4D82-A4B6-3F6B8BBF1CF4}" uniqueName="116" name="Column116" queryTableFieldId="116" dataDxfId="59"/>
    <tableColumn id="117" xr3:uid="{80F7192C-586B-4C0A-ACDC-64D274DB61EC}" uniqueName="117" name="Column117" queryTableFieldId="117" dataDxfId="58"/>
    <tableColumn id="118" xr3:uid="{6536839D-39BB-4327-959E-658D6AE06017}" uniqueName="118" name="Column118" queryTableFieldId="118" dataDxfId="57"/>
    <tableColumn id="119" xr3:uid="{B82CC8E2-8D94-4C75-A7A7-F4F505CCAEEC}" uniqueName="119" name="Column119" queryTableFieldId="119" dataDxfId="56"/>
    <tableColumn id="120" xr3:uid="{3F71A6B2-DFA5-4829-8BE0-D6674313787F}" uniqueName="120" name="Column120" queryTableFieldId="120" dataDxfId="55"/>
    <tableColumn id="121" xr3:uid="{18905F32-E596-44D3-9E0E-DBC52E5200D9}" uniqueName="121" name="Column121" queryTableFieldId="121" dataDxfId="54"/>
    <tableColumn id="122" xr3:uid="{63808418-E8BB-432B-B080-4B8E773F76BC}" uniqueName="122" name="Column122" queryTableFieldId="122" dataDxfId="53"/>
    <tableColumn id="123" xr3:uid="{190E2308-7F94-4603-95D0-10A18BE25174}" uniqueName="123" name="Column123" queryTableFieldId="123" dataDxfId="52"/>
    <tableColumn id="124" xr3:uid="{E0A12A81-A830-40C6-8C12-4AEEE5F7A428}" uniqueName="124" name="Column124" queryTableFieldId="124" dataDxfId="51"/>
    <tableColumn id="125" xr3:uid="{97C99B4A-9F08-4325-BCB8-2258CEA58614}" uniqueName="125" name="Column125" queryTableFieldId="125" dataDxfId="50"/>
    <tableColumn id="126" xr3:uid="{73DD0186-A1C3-46B6-9B8F-FA7C15D6F237}" uniqueName="126" name="Column126" queryTableFieldId="126" dataDxfId="49"/>
    <tableColumn id="127" xr3:uid="{310A15E4-6E23-4646-890E-FD327FE3ADDB}" uniqueName="127" name="Column127" queryTableFieldId="127" dataDxfId="48"/>
    <tableColumn id="128" xr3:uid="{CEC6FCDC-607C-427F-9300-023107F8AE89}" uniqueName="128" name="Column128" queryTableFieldId="128" dataDxfId="47"/>
    <tableColumn id="129" xr3:uid="{F6BE787D-2900-49A4-90CD-C48E9AE9010D}" uniqueName="129" name="Column129" queryTableFieldId="129" dataDxfId="46"/>
    <tableColumn id="130" xr3:uid="{65433A90-29D3-4C6F-9DA2-3C36EC9463CA}" uniqueName="130" name="Column130" queryTableFieldId="130" headerRowDxfId="45" dataDxfId="44"/>
    <tableColumn id="131" xr3:uid="{1CDD82DF-6C26-4E44-AFEA-125F46BE1AE1}" uniqueName="131" name="Column131" queryTableFieldId="131" dataDxfId="43"/>
    <tableColumn id="132" xr3:uid="{9CD46ACB-88A2-4F3F-91EF-523AF1E174C9}" uniqueName="132" name="Column132" queryTableFieldId="132" dataDxfId="42"/>
    <tableColumn id="133" xr3:uid="{31887E3B-D6AE-4910-BAA2-CC5662DC675D}" uniqueName="133" name="Column133" queryTableFieldId="133" dataDxfId="41"/>
    <tableColumn id="134" xr3:uid="{E4F513D7-C6D8-41CD-A4DC-0FD542CB0548}" uniqueName="134" name="Column134" queryTableFieldId="134" dataDxfId="40"/>
    <tableColumn id="135" xr3:uid="{06920300-7CE6-4567-BA5C-3B11E0602274}" uniqueName="135" name="Column135" queryTableFieldId="135" dataDxfId="39"/>
    <tableColumn id="136" xr3:uid="{1E97EF7A-B8C1-411E-BE97-EE9998991DFC}" uniqueName="136" name="Column136" queryTableFieldId="136" dataDxfId="38"/>
    <tableColumn id="137" xr3:uid="{A078B469-78AC-42AB-ABA3-3BB3D09B9852}" uniqueName="137" name="Column137" queryTableFieldId="137" dataDxfId="37"/>
    <tableColumn id="138" xr3:uid="{AC9045C5-BDA4-4429-AD4A-F784166D5415}" uniqueName="138" name="Column138" queryTableFieldId="138" dataDxfId="36"/>
    <tableColumn id="139" xr3:uid="{440BFE94-BCF8-4D75-B1D8-EBCCBA18CC7B}" uniqueName="139" name="Column139" queryTableFieldId="139" dataDxfId="35"/>
    <tableColumn id="140" xr3:uid="{EC1406FD-5CB7-4952-A1C6-47B4A7A83845}" uniqueName="140" name="Column140" queryTableFieldId="140" dataDxfId="34"/>
    <tableColumn id="141" xr3:uid="{908DCFB7-BCC9-4A75-A423-160A7AF229A3}" uniqueName="141" name="Column141" queryTableFieldId="141" dataDxfId="33"/>
    <tableColumn id="142" xr3:uid="{88F13154-E1C5-43B4-B0E7-919005D58114}" uniqueName="142" name="Column142" queryTableFieldId="142" dataDxfId="32"/>
    <tableColumn id="143" xr3:uid="{CCE681A8-7315-42EB-92DC-BBA97EEC96CE}" uniqueName="143" name="Column143" queryTableFieldId="143" dataDxfId="31"/>
    <tableColumn id="144" xr3:uid="{B0AA59F9-7E07-4EE5-B395-C506EA4825CA}" uniqueName="144" name="Column144" queryTableFieldId="144" dataDxfId="30"/>
    <tableColumn id="145" xr3:uid="{0C9C74A3-9CCD-46B5-AD31-010144F37E4D}" uniqueName="145" name="Column145" queryTableFieldId="145" dataDxfId="29"/>
    <tableColumn id="146" xr3:uid="{C5CECAD3-7784-45DB-968C-9267EE1A7D09}" uniqueName="146" name="Column146" queryTableFieldId="146" dataDxfId="28"/>
    <tableColumn id="147" xr3:uid="{BE869C45-CD32-4EAD-8059-C4AED8D3485C}" uniqueName="147" name="Column147" queryTableFieldId="147" dataDxfId="27"/>
    <tableColumn id="148" xr3:uid="{9C84CA90-E3BB-4743-99D1-6E2404815C9D}" uniqueName="148" name="Column148" totalsRowLabel="H" queryTableFieldId="148" headerRowDxfId="26" dataDxfId="25" totalsRowDxfId="24"/>
    <tableColumn id="149" xr3:uid="{8C7AADED-24DA-4B45-84E3-B6004F3CCC49}" uniqueName="149" name="Column149" queryTableFieldId="149" dataDxfId="23"/>
    <tableColumn id="150" xr3:uid="{E0E34F16-F675-4A3C-B9FF-DDA7B545C838}" uniqueName="150" name="Column150" totalsRowLabel="BV" queryTableFieldId="150" headerRowDxfId="22" dataDxfId="21" totalsRowDxfId="20"/>
    <tableColumn id="151" xr3:uid="{F9862EE1-A3F9-4FED-B9F2-2B445286661D}" uniqueName="151" name="Column151" queryTableFieldId="151" dataDxfId="19"/>
    <tableColumn id="152" xr3:uid="{85944E09-1176-4FC7-8BEE-3487C4E36981}" uniqueName="152" name="Column152" queryTableFieldId="152" dataDxfId="18"/>
    <tableColumn id="153" xr3:uid="{F79785B6-A053-4221-B10C-F063F318B438}" uniqueName="153" name="Column153" totalsRowLabel="BW" queryTableFieldId="153" headerRowDxfId="17" dataDxfId="16" totalsRowDxfId="15"/>
    <tableColumn id="154" xr3:uid="{25D7FAB1-09D8-47F1-9DB9-B2BA6FD19CB7}" uniqueName="154" name="Column154" totalsRowLabel="BX" queryTableFieldId="154" headerRowDxfId="14" dataDxfId="13" totalsRowDxfId="12"/>
    <tableColumn id="155" xr3:uid="{57653213-803E-48A3-909A-EDE6FEC3D738}" uniqueName="155" name="Column155" queryTableFieldId="155" dataDxfId="11"/>
    <tableColumn id="156" xr3:uid="{66AF5A42-2987-49B8-83E1-2E41C4B8730B}" uniqueName="156" name="Column156" queryTableFieldId="156" dataDxfId="10"/>
    <tableColumn id="157" xr3:uid="{E0C7ED40-18C0-4113-93FA-8D1E462A794F}" uniqueName="157" name="Column157" queryTableFieldId="157" dataDxfId="9"/>
    <tableColumn id="158" xr3:uid="{BA8D6B30-6C20-4046-B7DB-9A1961F70C5D}" uniqueName="158" name="列1" totalsRowLabel="BY" queryTableFieldId="158" dataDxfId="8" totalsRowDxfId="7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02B-B3F7-4907-BA52-8543664C05F4}">
  <dimension ref="A1:BZ7"/>
  <sheetViews>
    <sheetView tabSelected="1" zoomScale="85" zoomScaleNormal="85" workbookViewId="0">
      <pane ySplit="4" topLeftCell="A5" activePane="bottomLeft" state="frozen"/>
      <selection pane="bottomLeft" activeCell="B5" sqref="B5"/>
    </sheetView>
  </sheetViews>
  <sheetFormatPr defaultColWidth="9" defaultRowHeight="16.5" outlineLevelCol="2" x14ac:dyDescent="0.4"/>
  <cols>
    <col min="1" max="1" width="5.625" style="78" customWidth="1"/>
    <col min="2" max="2" width="4.625" style="4" customWidth="1" outlineLevel="1"/>
    <col min="3" max="3" width="14.625" style="1" customWidth="1" outlineLevel="1"/>
    <col min="4" max="4" width="4.625" style="1" customWidth="1" outlineLevel="1"/>
    <col min="5" max="5" width="15.625" style="1" customWidth="1" outlineLevel="1"/>
    <col min="6" max="6" width="5.625" style="1" customWidth="1" outlineLevel="1"/>
    <col min="7" max="7" width="17.375" style="1" customWidth="1" outlineLevel="1"/>
    <col min="8" max="8" width="4.625" style="1" customWidth="1" outlineLevel="1"/>
    <col min="9" max="9" width="9.625" style="1" customWidth="1" outlineLevel="1"/>
    <col min="10" max="10" width="1.625" style="2" customWidth="1" outlineLevel="1"/>
    <col min="11" max="15" width="2.625" style="7" customWidth="1" outlineLevel="1"/>
    <col min="16" max="16" width="5.625" style="1" customWidth="1" outlineLevel="1"/>
    <col min="17" max="17" width="12.625" style="1" customWidth="1" outlineLevel="1"/>
    <col min="18" max="18" width="20.625" style="4" customWidth="1" outlineLevel="1"/>
    <col min="19" max="19" width="12.625" style="4" customWidth="1" outlineLevel="1"/>
    <col min="20" max="20" width="10.625" style="4" customWidth="1" outlineLevel="1"/>
    <col min="21" max="21" width="10.625" style="112" customWidth="1" outlineLevel="1"/>
    <col min="22" max="22" width="35.625" style="1" customWidth="1"/>
    <col min="23" max="23" width="13.625" style="1" hidden="1" customWidth="1" outlineLevel="2"/>
    <col min="24" max="24" width="15.625" style="1" hidden="1" customWidth="1" outlineLevel="2"/>
    <col min="25" max="25" width="12.625" style="1" hidden="1" customWidth="1" outlineLevel="2"/>
    <col min="26" max="32" width="10.625" style="1" hidden="1" customWidth="1" outlineLevel="2"/>
    <col min="33" max="33" width="26.625" style="1" customWidth="1" outlineLevel="1" collapsed="1"/>
    <col min="34" max="34" width="18.625" style="1" customWidth="1" outlineLevel="1"/>
    <col min="35" max="35" width="15.625" style="1" customWidth="1" outlineLevel="1"/>
    <col min="36" max="36" width="18.625" style="1" customWidth="1" outlineLevel="1"/>
    <col min="37" max="37" width="4.625" style="1" customWidth="1" outlineLevel="1"/>
    <col min="38" max="38" width="6.625" style="1" customWidth="1" outlineLevel="1"/>
    <col min="39" max="39" width="11.25" style="93" bestFit="1" customWidth="1"/>
    <col min="40" max="40" width="7.5" style="23" customWidth="1"/>
    <col min="41" max="41" width="7.75" style="3" customWidth="1"/>
    <col min="42" max="42" width="6.625" style="23" customWidth="1"/>
    <col min="43" max="43" width="1.625" style="2" customWidth="1"/>
    <col min="44" max="44" width="5.625" style="5" customWidth="1"/>
    <col min="45" max="45" width="8" style="57" customWidth="1"/>
    <col min="46" max="46" width="6.375" style="6" customWidth="1"/>
    <col min="47" max="47" width="6.625" style="61" customWidth="1"/>
    <col min="48" max="48" width="4.625" style="13" customWidth="1" outlineLevel="1"/>
    <col min="49" max="49" width="8.125" style="13" customWidth="1" outlineLevel="1"/>
    <col min="50" max="50" width="5.625" style="13" customWidth="1" outlineLevel="1"/>
    <col min="51" max="51" width="4.625" style="13" customWidth="1" outlineLevel="1"/>
    <col min="52" max="52" width="6.625" style="65" customWidth="1" outlineLevel="1"/>
    <col min="53" max="53" width="5.625" style="13" customWidth="1" outlineLevel="1"/>
    <col min="54" max="54" width="4.625" style="13" customWidth="1" outlineLevel="1"/>
    <col min="55" max="55" width="6.625" style="65" customWidth="1" outlineLevel="1"/>
    <col min="56" max="56" width="5.625" style="13" customWidth="1" outlineLevel="1"/>
    <col min="57" max="57" width="4.625" style="13" customWidth="1" outlineLevel="1"/>
    <col min="58" max="58" width="6.625" style="65" customWidth="1" outlineLevel="1"/>
    <col min="59" max="59" width="5.625" style="13" customWidth="1" outlineLevel="1"/>
    <col min="60" max="60" width="4.625" style="13" customWidth="1" outlineLevel="1"/>
    <col min="61" max="61" width="6.625" style="65" customWidth="1" outlineLevel="1"/>
    <col min="62" max="62" width="5.625" style="13" customWidth="1" outlineLevel="1"/>
    <col min="63" max="63" width="3.625" style="1" customWidth="1"/>
    <col min="64" max="64" width="12.625" style="1" customWidth="1"/>
    <col min="65" max="65" width="39.125" style="1" bestFit="1" customWidth="1"/>
    <col min="66" max="66" width="3.625" style="1" customWidth="1"/>
    <col min="67" max="67" width="9" style="1"/>
    <col min="68" max="68" width="3.625" style="1" customWidth="1"/>
    <col min="69" max="69" width="9" style="1"/>
    <col min="70" max="70" width="10" style="1" bestFit="1" customWidth="1"/>
    <col min="71" max="72" width="9" style="1"/>
    <col min="73" max="73" width="12.625" style="1" customWidth="1"/>
    <col min="74" max="74" width="10.625" style="1" customWidth="1"/>
    <col min="75" max="76" width="12.625" style="1" customWidth="1"/>
    <col min="77" max="77" width="9.625" style="1" customWidth="1"/>
    <col min="78" max="16384" width="9" style="1"/>
  </cols>
  <sheetData>
    <row r="1" spans="1:78" s="30" customFormat="1" ht="17.25" thickBot="1" x14ac:dyDescent="0.45">
      <c r="A1" s="77"/>
      <c r="B1" s="72" t="s">
        <v>14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3136</v>
      </c>
      <c r="I1" s="30" t="s">
        <v>102</v>
      </c>
      <c r="P1" s="30" t="s">
        <v>54</v>
      </c>
      <c r="Q1" s="30" t="s">
        <v>55</v>
      </c>
      <c r="R1" s="31" t="s">
        <v>40</v>
      </c>
      <c r="S1" s="31"/>
      <c r="T1" s="31"/>
      <c r="U1" s="108"/>
      <c r="V1" s="30" t="s">
        <v>21</v>
      </c>
      <c r="AG1" s="30" t="s">
        <v>47</v>
      </c>
      <c r="AK1" s="30" t="s">
        <v>49</v>
      </c>
      <c r="AL1" s="30" t="s">
        <v>50</v>
      </c>
      <c r="AM1" s="89" t="s">
        <v>71</v>
      </c>
      <c r="AN1" s="33" t="s">
        <v>65</v>
      </c>
      <c r="AP1" s="33"/>
      <c r="AS1" s="53" t="s">
        <v>70</v>
      </c>
      <c r="AU1" s="53" t="s">
        <v>72</v>
      </c>
      <c r="AW1" s="32" t="s">
        <v>73</v>
      </c>
      <c r="AZ1" s="53" t="s">
        <v>74</v>
      </c>
      <c r="BC1" s="53"/>
      <c r="BF1" s="53"/>
      <c r="BI1" s="53"/>
      <c r="BK1" s="30" t="s">
        <v>58</v>
      </c>
      <c r="BL1" s="30" t="s">
        <v>59</v>
      </c>
      <c r="BU1" s="30" t="s">
        <v>86</v>
      </c>
      <c r="BV1" s="30" t="s">
        <v>87</v>
      </c>
      <c r="BW1" s="30" t="s">
        <v>88</v>
      </c>
      <c r="BX1" s="30" t="s">
        <v>89</v>
      </c>
      <c r="BY1" s="30" t="s">
        <v>69</v>
      </c>
    </row>
    <row r="2" spans="1:78" s="2" customFormat="1" ht="15.95" customHeight="1" x14ac:dyDescent="0.35">
      <c r="A2" s="79"/>
      <c r="B2" s="96" t="s">
        <v>8</v>
      </c>
      <c r="C2" s="97"/>
      <c r="D2" s="96" t="s">
        <v>1</v>
      </c>
      <c r="E2" s="99"/>
      <c r="F2" s="97" t="s">
        <v>12</v>
      </c>
      <c r="G2" s="97"/>
      <c r="H2" s="82"/>
      <c r="I2" s="18" t="s">
        <v>90</v>
      </c>
      <c r="J2" s="101" t="s">
        <v>5</v>
      </c>
      <c r="K2" s="101"/>
      <c r="L2" s="101"/>
      <c r="M2" s="21"/>
      <c r="N2" s="21"/>
      <c r="O2" s="21"/>
      <c r="P2" s="117" t="s">
        <v>53</v>
      </c>
      <c r="Q2" s="118"/>
      <c r="R2" s="43" t="s">
        <v>32</v>
      </c>
      <c r="S2" s="21"/>
      <c r="T2" s="21"/>
      <c r="U2" s="109"/>
      <c r="V2" s="40" t="s">
        <v>22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40" t="s">
        <v>43</v>
      </c>
      <c r="AH2" s="17"/>
      <c r="AI2" s="17"/>
      <c r="AJ2" s="17"/>
      <c r="AK2" s="117" t="s">
        <v>51</v>
      </c>
      <c r="AL2" s="118"/>
      <c r="AM2" s="90" t="s">
        <v>62</v>
      </c>
      <c r="AN2" s="103"/>
      <c r="AO2" s="22"/>
      <c r="AP2" s="68"/>
      <c r="AQ2" s="17"/>
      <c r="AR2" s="27"/>
      <c r="AS2" s="54" t="s">
        <v>105</v>
      </c>
      <c r="AT2" s="28"/>
      <c r="AU2" s="58" t="s">
        <v>106</v>
      </c>
      <c r="AV2" s="24"/>
      <c r="AW2" s="24"/>
      <c r="AX2" s="24"/>
      <c r="AY2" s="73"/>
      <c r="AZ2" s="62"/>
      <c r="BA2" s="24"/>
      <c r="BB2" s="73"/>
      <c r="BC2" s="62"/>
      <c r="BD2" s="24"/>
      <c r="BE2" s="73"/>
      <c r="BF2" s="62"/>
      <c r="BG2" s="24"/>
      <c r="BH2" s="73"/>
      <c r="BI2" s="62"/>
      <c r="BJ2" s="24"/>
      <c r="BK2" s="96" t="s">
        <v>6</v>
      </c>
      <c r="BL2" s="99"/>
      <c r="BM2" s="97"/>
      <c r="BN2" s="96" t="s">
        <v>99</v>
      </c>
      <c r="BO2" s="99"/>
      <c r="BP2" s="96" t="s">
        <v>100</v>
      </c>
      <c r="BQ2" s="99"/>
      <c r="BR2" s="96" t="s">
        <v>92</v>
      </c>
      <c r="BS2" s="99"/>
      <c r="BT2" s="17"/>
      <c r="BU2" s="29" t="s">
        <v>83</v>
      </c>
      <c r="BV2" s="30" t="s">
        <v>81</v>
      </c>
      <c r="BW2" s="30" t="s">
        <v>85</v>
      </c>
      <c r="BX2" s="30" t="s">
        <v>80</v>
      </c>
      <c r="BY2" s="40" t="s">
        <v>75</v>
      </c>
      <c r="BZ2" s="18" t="s">
        <v>78</v>
      </c>
    </row>
    <row r="3" spans="1:78" s="2" customFormat="1" ht="15.95" customHeight="1" x14ac:dyDescent="0.35">
      <c r="A3" s="80" t="s">
        <v>131</v>
      </c>
      <c r="B3" s="98"/>
      <c r="C3" s="1"/>
      <c r="D3" s="98"/>
      <c r="E3" s="100"/>
      <c r="F3" s="1"/>
      <c r="G3" s="1"/>
      <c r="H3" s="20"/>
      <c r="I3" s="19" t="s">
        <v>101</v>
      </c>
      <c r="J3" s="121" t="s">
        <v>20</v>
      </c>
      <c r="K3" s="121"/>
      <c r="L3" s="76" t="s">
        <v>103</v>
      </c>
      <c r="M3" s="76"/>
      <c r="N3" s="76"/>
      <c r="O3" s="102"/>
      <c r="P3" s="20" t="s">
        <v>36</v>
      </c>
      <c r="Q3" s="19" t="s">
        <v>53</v>
      </c>
      <c r="R3" s="44" t="s">
        <v>34</v>
      </c>
      <c r="S3" s="34"/>
      <c r="T3" s="34"/>
      <c r="U3" s="110"/>
      <c r="V3" s="41" t="s">
        <v>23</v>
      </c>
      <c r="AG3" s="41" t="s">
        <v>42</v>
      </c>
      <c r="AK3" s="119" t="s">
        <v>52</v>
      </c>
      <c r="AL3" s="120"/>
      <c r="AM3" s="91" t="s">
        <v>63</v>
      </c>
      <c r="AN3" s="104"/>
      <c r="AO3" s="35" t="s">
        <v>3</v>
      </c>
      <c r="AP3" s="69" t="s">
        <v>61</v>
      </c>
      <c r="AQ3" s="2" t="s">
        <v>0</v>
      </c>
      <c r="AR3" s="36"/>
      <c r="AS3" s="55" t="s">
        <v>104</v>
      </c>
      <c r="AT3" s="37"/>
      <c r="AU3" s="59" t="s">
        <v>107</v>
      </c>
      <c r="AV3" s="38"/>
      <c r="AW3" s="38"/>
      <c r="AX3" s="38"/>
      <c r="AY3" s="74"/>
      <c r="AZ3" s="63"/>
      <c r="BA3" s="38"/>
      <c r="BB3" s="74"/>
      <c r="BC3" s="63"/>
      <c r="BD3" s="38"/>
      <c r="BE3" s="74"/>
      <c r="BF3" s="63"/>
      <c r="BG3" s="38"/>
      <c r="BH3" s="74"/>
      <c r="BI3" s="63"/>
      <c r="BJ3" s="38"/>
      <c r="BK3" s="98"/>
      <c r="BL3" s="100"/>
      <c r="BM3" s="1"/>
      <c r="BN3" s="98"/>
      <c r="BO3" s="100"/>
      <c r="BP3" s="98"/>
      <c r="BQ3" s="100"/>
      <c r="BR3" s="2" t="s">
        <v>93</v>
      </c>
      <c r="BS3" s="2" t="s">
        <v>94</v>
      </c>
      <c r="BT3" s="2" t="s">
        <v>98</v>
      </c>
      <c r="BU3" s="48" t="s">
        <v>84</v>
      </c>
      <c r="BV3" s="26" t="s">
        <v>82</v>
      </c>
      <c r="BW3" s="26" t="s">
        <v>79</v>
      </c>
      <c r="BX3" s="25"/>
      <c r="BY3" s="41" t="s">
        <v>76</v>
      </c>
      <c r="BZ3" s="19"/>
    </row>
    <row r="4" spans="1:78" s="39" customFormat="1" ht="15.95" customHeight="1" thickBot="1" x14ac:dyDescent="0.4">
      <c r="A4" s="81"/>
      <c r="B4" s="16" t="s">
        <v>7</v>
      </c>
      <c r="C4" s="8" t="s">
        <v>9</v>
      </c>
      <c r="D4" s="16" t="s">
        <v>7</v>
      </c>
      <c r="E4" s="9" t="s">
        <v>9</v>
      </c>
      <c r="F4" s="15" t="s">
        <v>7</v>
      </c>
      <c r="G4" s="8" t="s">
        <v>9</v>
      </c>
      <c r="H4" s="47" t="s">
        <v>7</v>
      </c>
      <c r="I4" s="86" t="s">
        <v>91</v>
      </c>
      <c r="J4" s="115" t="s">
        <v>33</v>
      </c>
      <c r="K4" s="116"/>
      <c r="L4" s="8" t="s">
        <v>33</v>
      </c>
      <c r="M4" s="8" t="s">
        <v>33</v>
      </c>
      <c r="N4" s="8" t="s">
        <v>33</v>
      </c>
      <c r="O4" s="8" t="s">
        <v>33</v>
      </c>
      <c r="P4" s="42" t="s">
        <v>56</v>
      </c>
      <c r="Q4" s="9" t="s">
        <v>57</v>
      </c>
      <c r="R4" s="52" t="s">
        <v>35</v>
      </c>
      <c r="S4" s="8" t="s">
        <v>37</v>
      </c>
      <c r="T4" s="8" t="s">
        <v>38</v>
      </c>
      <c r="U4" s="111" t="s">
        <v>39</v>
      </c>
      <c r="V4" s="46" t="s">
        <v>31</v>
      </c>
      <c r="W4" s="8" t="s">
        <v>1453</v>
      </c>
      <c r="X4" s="8" t="s">
        <v>1454</v>
      </c>
      <c r="Y4" s="8" t="s">
        <v>1455</v>
      </c>
      <c r="Z4" s="8" t="s">
        <v>24</v>
      </c>
      <c r="AA4" s="8" t="s">
        <v>25</v>
      </c>
      <c r="AB4" s="8" t="s">
        <v>26</v>
      </c>
      <c r="AC4" s="8" t="s">
        <v>27</v>
      </c>
      <c r="AD4" s="8" t="s">
        <v>28</v>
      </c>
      <c r="AE4" s="8" t="s">
        <v>29</v>
      </c>
      <c r="AF4" s="8" t="s">
        <v>30</v>
      </c>
      <c r="AG4" s="45" t="s">
        <v>41</v>
      </c>
      <c r="AH4" s="8" t="s">
        <v>44</v>
      </c>
      <c r="AI4" s="8" t="s">
        <v>45</v>
      </c>
      <c r="AJ4" s="8" t="s">
        <v>46</v>
      </c>
      <c r="AK4" s="47" t="s">
        <v>36</v>
      </c>
      <c r="AL4" s="9" t="s">
        <v>48</v>
      </c>
      <c r="AM4" s="92" t="s">
        <v>61</v>
      </c>
      <c r="AN4" s="105" t="s">
        <v>1456</v>
      </c>
      <c r="AO4" s="10" t="s">
        <v>60</v>
      </c>
      <c r="AP4" s="70" t="s">
        <v>64</v>
      </c>
      <c r="AQ4" s="8" t="s">
        <v>2</v>
      </c>
      <c r="AR4" s="11" t="s">
        <v>10</v>
      </c>
      <c r="AS4" s="56" t="s">
        <v>66</v>
      </c>
      <c r="AT4" s="12" t="s">
        <v>11</v>
      </c>
      <c r="AU4" s="60" t="s">
        <v>67</v>
      </c>
      <c r="AV4" s="14" t="s">
        <v>4</v>
      </c>
      <c r="AW4" s="64" t="s">
        <v>68</v>
      </c>
      <c r="AX4" s="14" t="s">
        <v>3140</v>
      </c>
      <c r="AY4" s="75" t="s">
        <v>4</v>
      </c>
      <c r="AZ4" s="64" t="s">
        <v>108</v>
      </c>
      <c r="BA4" s="14" t="s">
        <v>3140</v>
      </c>
      <c r="BB4" s="75" t="s">
        <v>4</v>
      </c>
      <c r="BC4" s="64" t="s">
        <v>109</v>
      </c>
      <c r="BD4" s="14" t="s">
        <v>3140</v>
      </c>
      <c r="BE4" s="75" t="s">
        <v>4</v>
      </c>
      <c r="BF4" s="64" t="s">
        <v>110</v>
      </c>
      <c r="BG4" s="14" t="s">
        <v>3140</v>
      </c>
      <c r="BH4" s="75" t="s">
        <v>4</v>
      </c>
      <c r="BI4" s="64" t="s">
        <v>110</v>
      </c>
      <c r="BJ4" s="14" t="s">
        <v>3140</v>
      </c>
      <c r="BK4" s="16" t="s">
        <v>7</v>
      </c>
      <c r="BL4" s="9" t="s">
        <v>13</v>
      </c>
      <c r="BM4" s="9" t="s">
        <v>3168</v>
      </c>
      <c r="BN4" s="16" t="s">
        <v>7</v>
      </c>
      <c r="BO4" s="9" t="s">
        <v>13</v>
      </c>
      <c r="BP4" s="16" t="s">
        <v>7</v>
      </c>
      <c r="BQ4" s="9" t="s">
        <v>13</v>
      </c>
      <c r="BR4" s="8" t="s">
        <v>96</v>
      </c>
      <c r="BS4" s="8" t="s">
        <v>97</v>
      </c>
      <c r="BT4" s="8" t="s">
        <v>95</v>
      </c>
      <c r="BU4" s="50"/>
      <c r="BV4" s="51"/>
      <c r="BW4" s="51"/>
      <c r="BX4" s="51"/>
      <c r="BY4" s="45" t="s">
        <v>77</v>
      </c>
      <c r="BZ4" s="49"/>
    </row>
    <row r="5" spans="1:78" ht="17.25" thickTop="1" x14ac:dyDescent="0.4">
      <c r="A5" s="78" t="s">
        <v>3146</v>
      </c>
      <c r="B5" s="4" t="s">
        <v>964</v>
      </c>
      <c r="C5" s="84" t="str">
        <f>IF(B5="","",_xlfn.XLOOKUP(B5,大分類!$A:$A,大分類!$B:$B,0))</f>
        <v>ｸﾞﾘｽﾆｯﾌﾟﾙ</v>
      </c>
      <c r="D5" s="1" t="s">
        <v>970</v>
      </c>
      <c r="E5" s="84" t="str">
        <f>IF(D5="","",_xlfn.XLOOKUP(D5,中分類!$A:$A,中分類!$B:$B,0))</f>
        <v>ﾒｯｷ</v>
      </c>
      <c r="F5" s="76" t="s">
        <v>975</v>
      </c>
      <c r="G5" s="84" t="str">
        <f>IF(F5="","",_xlfn.XLOOKUP(F5,小分類!$A:$A,小分類!$B:$B,0))</f>
        <v>ﾘﾘｰﾌﾆｯﾌﾟﾙ</v>
      </c>
      <c r="H5" s="76">
        <v>1</v>
      </c>
      <c r="I5" s="84" t="str">
        <f>IF(H5="","",_xlfn.XLOOKUP(H5,在庫取寄区分!$A:$A,在庫取寄区分!$B:$B,0))</f>
        <v>常時在庫品</v>
      </c>
      <c r="J5" s="2" t="s">
        <v>967</v>
      </c>
      <c r="K5" s="7">
        <v>23</v>
      </c>
      <c r="L5" s="7">
        <v>3</v>
      </c>
      <c r="P5" s="1" t="s">
        <v>892</v>
      </c>
      <c r="Q5" s="84" t="str">
        <f>IF(P5="","",_xlfn.XLOOKUP(P5,ﾒｰｶｰCD!$A:$A,ﾒｰｶｰCD!$B:$B,0))</f>
        <v>ﾌﾛｰﾊﾞﾙ</v>
      </c>
      <c r="R5" s="85" t="str">
        <f t="shared" ref="R5:R7" si="0">S5&amp;T5&amp;U5</f>
        <v>MRRFNI1/8</v>
      </c>
      <c r="S5" s="114" t="s">
        <v>980</v>
      </c>
      <c r="T5" s="112" t="s">
        <v>2956</v>
      </c>
      <c r="V5" s="84" t="str">
        <f t="shared" ref="V5:V7" si="1">W5&amp;" "&amp;X5&amp;" "&amp;Y5&amp;" "&amp;Z5&amp;" "&amp;AA5&amp;" "&amp;AB5&amp;" "&amp;AC5&amp;" "&amp;AD5&amp;AE5&amp;AF5</f>
        <v xml:space="preserve"> 黄銅ﾒｯｷ付 ﾘﾘｰﾌﾆｯﾌﾟﾙ PT1/8    </v>
      </c>
      <c r="X5" s="1" t="s">
        <v>123</v>
      </c>
      <c r="Y5" s="1" t="s">
        <v>981</v>
      </c>
      <c r="Z5" s="1" t="s">
        <v>977</v>
      </c>
      <c r="AA5" s="4"/>
      <c r="AB5" s="4"/>
      <c r="AC5" s="67"/>
      <c r="AG5" s="84" t="str">
        <f t="shared" ref="AG5:AG7" si="2">AH5&amp;" "&amp;AI5&amp;" "&amp;AJ5</f>
        <v xml:space="preserve">33201601 NRN-01K </v>
      </c>
      <c r="AH5" s="67">
        <v>33201601</v>
      </c>
      <c r="AI5" s="1" t="s">
        <v>982</v>
      </c>
      <c r="AK5" s="67" t="s">
        <v>900</v>
      </c>
      <c r="AL5" s="84" t="str">
        <f>IF(AK5="","",_xlfn.XLOOKUP(AK5,単位CD!$A:$A,単位CD!$B:$B,0))</f>
        <v>ヶ</v>
      </c>
      <c r="AM5" s="93">
        <f t="shared" ref="AM5:AM7" si="3">ROUND(AN5*AO5,0)</f>
        <v>172</v>
      </c>
      <c r="AN5" s="3">
        <v>330</v>
      </c>
      <c r="AO5" s="3">
        <v>0.52</v>
      </c>
      <c r="AP5" s="71">
        <f t="shared" ref="AP5:AP7" si="4">ROUND(AM5/AN5,3)</f>
        <v>0.52100000000000002</v>
      </c>
      <c r="AQ5" s="2" t="s">
        <v>0</v>
      </c>
      <c r="AS5" s="57">
        <f t="shared" ref="AS5:AS7" si="5">IF($AQ5="T",ROUND($AN5*AR5,0),ROUND($AM5*AR5,0))</f>
        <v>0</v>
      </c>
      <c r="AT5" s="6">
        <v>0.78</v>
      </c>
      <c r="AU5" s="61">
        <f t="shared" ref="AU5:AU7" si="6">IF($AQ5="T",ROUND($AN5*AT5,0),ROUND($AM5*AT5,0))</f>
        <v>257</v>
      </c>
      <c r="AW5" s="65">
        <f t="shared" ref="AW5:AW7" si="7">IF($AQ5="T",ROUND($AN5*AV5,0),ROUND($AM5*AV5,0))</f>
        <v>0</v>
      </c>
      <c r="AX5" s="13">
        <f>COUNTIFS(特値先!$A:$A,分類!AV5)</f>
        <v>0</v>
      </c>
      <c r="AZ5" s="65">
        <f t="shared" ref="AZ5:AZ7" si="8">IF($AQ5="T",ROUND($AN5*AY5,0),ROUND($AM5*AY5,0))</f>
        <v>0</v>
      </c>
      <c r="BA5" s="13">
        <f>COUNTIFS(特値先!$A:$A,分類!AY5)</f>
        <v>0</v>
      </c>
      <c r="BC5" s="65">
        <f t="shared" ref="BC5:BC7" si="9">ROUND(AN5*BB5,0)</f>
        <v>0</v>
      </c>
      <c r="BF5" s="65">
        <f t="shared" ref="BF5:BF7" si="10">IF($AQ5="T",ROUND($AN5*BE5,0),ROUND($AM5*BE5,0))</f>
        <v>0</v>
      </c>
      <c r="BG5" s="13">
        <f>COUNTIFS(特値先!$A:$A,分類!BE5)</f>
        <v>0</v>
      </c>
      <c r="BI5" s="65">
        <f t="shared" ref="BI5:BI7" si="11">IF($AQ5="T",ROUND($AN5*BH5,0),ROUND($AM5*BH5,0))</f>
        <v>0</v>
      </c>
      <c r="BJ5" s="13">
        <f>COUNTIFS(特値先!$A:$A,分類!BH5)</f>
        <v>0</v>
      </c>
      <c r="BK5" s="1">
        <v>15</v>
      </c>
      <c r="BL5" s="84" t="str">
        <f>IF(BK5="","",_xlfn.XLOOKUP(BK5,仕入先CD!$A:$A,仕入先CD!$B:$B,0))</f>
        <v>ﾌﾛｰﾊﾞﾙ</v>
      </c>
      <c r="BM5" s="1" t="s">
        <v>2955</v>
      </c>
      <c r="BO5" s="84" t="str">
        <f>IF(BN5="","",_xlfn.XLOOKUP(BN5,仕入先CD!$A:$A,仕入先CD!$B:$B,0))</f>
        <v/>
      </c>
      <c r="BQ5" s="84" t="str">
        <f>IF(BP5="","",_xlfn.XLOOKUP(BP5,仕入先CD!$A:$A,仕入先CD!$B:$B,0))</f>
        <v/>
      </c>
      <c r="BR5" s="66">
        <v>45992</v>
      </c>
    </row>
    <row r="6" spans="1:78" x14ac:dyDescent="0.4">
      <c r="A6" s="78" t="s">
        <v>3146</v>
      </c>
      <c r="B6" s="4" t="s">
        <v>964</v>
      </c>
      <c r="C6" s="84" t="str">
        <f>IF(B6="","",_xlfn.XLOOKUP(B6,大分類!$A:$A,大分類!$B:$B,0))</f>
        <v>ｸﾞﾘｽﾆｯﾌﾟﾙ</v>
      </c>
      <c r="D6" s="1" t="s">
        <v>970</v>
      </c>
      <c r="E6" s="84" t="str">
        <f>IF(D6="","",_xlfn.XLOOKUP(D6,中分類!$A:$A,中分類!$B:$B,0))</f>
        <v>ﾒｯｷ</v>
      </c>
      <c r="F6" s="76" t="s">
        <v>975</v>
      </c>
      <c r="G6" s="84" t="str">
        <f>IF(F6="","",_xlfn.XLOOKUP(F6,小分類!$A:$A,小分類!$B:$B,0))</f>
        <v>ﾘﾘｰﾌﾆｯﾌﾟﾙ</v>
      </c>
      <c r="H6" s="76">
        <v>1</v>
      </c>
      <c r="I6" s="84" t="str">
        <f>IF(H6="","",_xlfn.XLOOKUP(H6,在庫取寄区分!$A:$A,在庫取寄区分!$B:$B,0))</f>
        <v>常時在庫品</v>
      </c>
      <c r="J6" s="2" t="s">
        <v>967</v>
      </c>
      <c r="K6" s="7">
        <v>23</v>
      </c>
      <c r="L6" s="7">
        <v>3</v>
      </c>
      <c r="P6" s="1" t="s">
        <v>892</v>
      </c>
      <c r="Q6" s="84" t="str">
        <f>IF(P6="","",_xlfn.XLOOKUP(P6,ﾒｰｶｰCD!$A:$A,ﾒｰｶｰCD!$B:$B,0))</f>
        <v>ﾌﾛｰﾊﾞﾙ</v>
      </c>
      <c r="R6" s="85" t="str">
        <f t="shared" si="0"/>
        <v>MRRFNI1/4</v>
      </c>
      <c r="S6" s="114" t="s">
        <v>980</v>
      </c>
      <c r="T6" s="112" t="s">
        <v>2731</v>
      </c>
      <c r="V6" s="84" t="str">
        <f t="shared" si="1"/>
        <v xml:space="preserve"> 黄銅ﾒｯｷ付 ﾘﾘｰﾌﾆｯﾌﾟﾙ PT1/4    </v>
      </c>
      <c r="X6" s="1" t="s">
        <v>123</v>
      </c>
      <c r="Y6" s="1" t="s">
        <v>981</v>
      </c>
      <c r="Z6" s="1" t="s">
        <v>978</v>
      </c>
      <c r="AA6" s="4"/>
      <c r="AB6" s="4"/>
      <c r="AC6" s="67"/>
      <c r="AG6" s="84" t="str">
        <f t="shared" si="2"/>
        <v xml:space="preserve">33201602 NRN-02K </v>
      </c>
      <c r="AH6" s="67">
        <v>33201602</v>
      </c>
      <c r="AI6" s="1" t="s">
        <v>983</v>
      </c>
      <c r="AK6" s="67" t="s">
        <v>900</v>
      </c>
      <c r="AL6" s="84" t="str">
        <f>IF(AK6="","",_xlfn.XLOOKUP(AK6,単位CD!$A:$A,単位CD!$B:$B,0))</f>
        <v>ヶ</v>
      </c>
      <c r="AM6" s="93">
        <f t="shared" si="3"/>
        <v>281</v>
      </c>
      <c r="AN6" s="3">
        <v>540</v>
      </c>
      <c r="AO6" s="3">
        <v>0.52</v>
      </c>
      <c r="AP6" s="71">
        <f t="shared" si="4"/>
        <v>0.52</v>
      </c>
      <c r="AQ6" s="2" t="s">
        <v>0</v>
      </c>
      <c r="AS6" s="57">
        <f t="shared" si="5"/>
        <v>0</v>
      </c>
      <c r="AT6" s="6">
        <v>0.78</v>
      </c>
      <c r="AU6" s="61">
        <f t="shared" si="6"/>
        <v>421</v>
      </c>
      <c r="AW6" s="65">
        <f t="shared" si="7"/>
        <v>0</v>
      </c>
      <c r="AX6" s="13">
        <f>COUNTIFS(特値先!$A:$A,分類!AV6)</f>
        <v>0</v>
      </c>
      <c r="AZ6" s="65">
        <f t="shared" si="8"/>
        <v>0</v>
      </c>
      <c r="BA6" s="13">
        <f>COUNTIFS(特値先!$A:$A,分類!AY6)</f>
        <v>0</v>
      </c>
      <c r="BC6" s="65">
        <f t="shared" si="9"/>
        <v>0</v>
      </c>
      <c r="BF6" s="65">
        <f t="shared" si="10"/>
        <v>0</v>
      </c>
      <c r="BG6" s="13">
        <f>COUNTIFS(特値先!$A:$A,分類!BE6)</f>
        <v>0</v>
      </c>
      <c r="BI6" s="65">
        <f t="shared" si="11"/>
        <v>0</v>
      </c>
      <c r="BJ6" s="13">
        <f>COUNTIFS(特値先!$A:$A,分類!BH6)</f>
        <v>0</v>
      </c>
      <c r="BK6" s="1">
        <v>15</v>
      </c>
      <c r="BL6" s="84" t="str">
        <f>IF(BK6="","",_xlfn.XLOOKUP(BK6,仕入先CD!$A:$A,仕入先CD!$B:$B,0))</f>
        <v>ﾌﾛｰﾊﾞﾙ</v>
      </c>
      <c r="BM6" s="1" t="s">
        <v>2955</v>
      </c>
      <c r="BO6" s="84" t="str">
        <f>IF(BN6="","",_xlfn.XLOOKUP(BN6,仕入先CD!$A:$A,仕入先CD!$B:$B,0))</f>
        <v/>
      </c>
      <c r="BQ6" s="84" t="str">
        <f>IF(BP6="","",_xlfn.XLOOKUP(BP6,仕入先CD!$A:$A,仕入先CD!$B:$B,0))</f>
        <v/>
      </c>
      <c r="BR6" s="66">
        <v>45992</v>
      </c>
    </row>
    <row r="7" spans="1:78" x14ac:dyDescent="0.4">
      <c r="A7" s="78" t="s">
        <v>3146</v>
      </c>
      <c r="B7" s="4" t="s">
        <v>964</v>
      </c>
      <c r="C7" s="84" t="str">
        <f>IF(B7="","",_xlfn.XLOOKUP(B7,大分類!$A:$A,大分類!$B:$B,0))</f>
        <v>ｸﾞﾘｽﾆｯﾌﾟﾙ</v>
      </c>
      <c r="D7" s="1" t="s">
        <v>970</v>
      </c>
      <c r="E7" s="84" t="str">
        <f>IF(D7="","",_xlfn.XLOOKUP(D7,中分類!$A:$A,中分類!$B:$B,0))</f>
        <v>ﾒｯｷ</v>
      </c>
      <c r="F7" s="76" t="s">
        <v>975</v>
      </c>
      <c r="G7" s="84" t="str">
        <f>IF(F7="","",_xlfn.XLOOKUP(F7,小分類!$A:$A,小分類!$B:$B,0))</f>
        <v>ﾘﾘｰﾌﾆｯﾌﾟﾙ</v>
      </c>
      <c r="H7" s="76">
        <v>1</v>
      </c>
      <c r="I7" s="84" t="str">
        <f>IF(H7="","",_xlfn.XLOOKUP(H7,在庫取寄区分!$A:$A,在庫取寄区分!$B:$B,0))</f>
        <v>常時在庫品</v>
      </c>
      <c r="J7" s="2" t="s">
        <v>967</v>
      </c>
      <c r="K7" s="7">
        <v>23</v>
      </c>
      <c r="L7" s="7">
        <v>3</v>
      </c>
      <c r="P7" s="1" t="s">
        <v>892</v>
      </c>
      <c r="Q7" s="84" t="str">
        <f>IF(P7="","",_xlfn.XLOOKUP(P7,ﾒｰｶｰCD!$A:$A,ﾒｰｶｰCD!$B:$B,0))</f>
        <v>ﾌﾛｰﾊﾞﾙ</v>
      </c>
      <c r="R7" s="85" t="str">
        <f t="shared" si="0"/>
        <v>MRRFNI3/8</v>
      </c>
      <c r="S7" s="114" t="s">
        <v>980</v>
      </c>
      <c r="T7" s="112" t="s">
        <v>2732</v>
      </c>
      <c r="V7" s="84" t="str">
        <f t="shared" si="1"/>
        <v xml:space="preserve"> 黄銅ﾒｯｷ付 ﾘﾘｰﾌﾆｯﾌﾟﾙ PT3/8    </v>
      </c>
      <c r="X7" s="1" t="s">
        <v>123</v>
      </c>
      <c r="Y7" s="1" t="s">
        <v>981</v>
      </c>
      <c r="Z7" s="1" t="s">
        <v>979</v>
      </c>
      <c r="AA7" s="4"/>
      <c r="AB7" s="4"/>
      <c r="AC7" s="67"/>
      <c r="AG7" s="84" t="str">
        <f t="shared" si="2"/>
        <v xml:space="preserve">33201603 NRN-03K </v>
      </c>
      <c r="AH7" s="67">
        <v>33201603</v>
      </c>
      <c r="AI7" s="1" t="s">
        <v>984</v>
      </c>
      <c r="AK7" s="67" t="s">
        <v>900</v>
      </c>
      <c r="AL7" s="84" t="str">
        <f>IF(AK7="","",_xlfn.XLOOKUP(AK7,単位CD!$A:$A,単位CD!$B:$B,0))</f>
        <v>ヶ</v>
      </c>
      <c r="AM7" s="93">
        <f t="shared" si="3"/>
        <v>463</v>
      </c>
      <c r="AN7" s="3">
        <v>890</v>
      </c>
      <c r="AO7" s="3">
        <v>0.52</v>
      </c>
      <c r="AP7" s="71">
        <f t="shared" si="4"/>
        <v>0.52</v>
      </c>
      <c r="AQ7" s="2" t="s">
        <v>0</v>
      </c>
      <c r="AS7" s="57">
        <f t="shared" si="5"/>
        <v>0</v>
      </c>
      <c r="AT7" s="6">
        <v>0.78</v>
      </c>
      <c r="AU7" s="61">
        <f t="shared" si="6"/>
        <v>694</v>
      </c>
      <c r="AW7" s="65">
        <f t="shared" si="7"/>
        <v>0</v>
      </c>
      <c r="AX7" s="13">
        <f>COUNTIFS(特値先!$A:$A,分類!AV7)</f>
        <v>0</v>
      </c>
      <c r="AZ7" s="65">
        <f t="shared" si="8"/>
        <v>0</v>
      </c>
      <c r="BA7" s="13">
        <f>COUNTIFS(特値先!$A:$A,分類!AY7)</f>
        <v>0</v>
      </c>
      <c r="BC7" s="65">
        <f t="shared" si="9"/>
        <v>0</v>
      </c>
      <c r="BF7" s="65">
        <f t="shared" si="10"/>
        <v>0</v>
      </c>
      <c r="BG7" s="13">
        <f>COUNTIFS(特値先!$A:$A,分類!BE7)</f>
        <v>0</v>
      </c>
      <c r="BI7" s="65">
        <f t="shared" si="11"/>
        <v>0</v>
      </c>
      <c r="BJ7" s="13">
        <f>COUNTIFS(特値先!$A:$A,分類!BH7)</f>
        <v>0</v>
      </c>
      <c r="BK7" s="1">
        <v>15</v>
      </c>
      <c r="BL7" s="84" t="str">
        <f>IF(BK7="","",_xlfn.XLOOKUP(BK7,仕入先CD!$A:$A,仕入先CD!$B:$B,0))</f>
        <v>ﾌﾛｰﾊﾞﾙ</v>
      </c>
      <c r="BM7" s="1" t="s">
        <v>2955</v>
      </c>
      <c r="BO7" s="84" t="str">
        <f>IF(BN7="","",_xlfn.XLOOKUP(BN7,仕入先CD!$A:$A,仕入先CD!$B:$B,0))</f>
        <v/>
      </c>
      <c r="BQ7" s="84" t="str">
        <f>IF(BP7="","",_xlfn.XLOOKUP(BP7,仕入先CD!$A:$A,仕入先CD!$B:$B,0))</f>
        <v/>
      </c>
      <c r="BR7" s="66">
        <v>45992</v>
      </c>
    </row>
  </sheetData>
  <autoFilter ref="A4:BZ7" xr:uid="{C7CA402B-B3F7-4907-BA52-8543664C05F4}">
    <filterColumn colId="9" showButton="0"/>
  </autoFilter>
  <mergeCells count="5">
    <mergeCell ref="J4:K4"/>
    <mergeCell ref="AK2:AL2"/>
    <mergeCell ref="AK3:AL3"/>
    <mergeCell ref="P2:Q2"/>
    <mergeCell ref="J3:K3"/>
  </mergeCells>
  <phoneticPr fontId="1"/>
  <conditionalFormatting sqref="H1:H1048576">
    <cfRule type="cellIs" dxfId="6" priority="3" operator="greaterThanOrEqual">
      <formula>2</formula>
    </cfRule>
    <cfRule type="cellIs" dxfId="5" priority="5" operator="equal">
      <formula>3</formula>
    </cfRule>
    <cfRule type="cellIs" dxfId="4" priority="7" operator="equal">
      <formula>2</formula>
    </cfRule>
  </conditionalFormatting>
  <conditionalFormatting sqref="I1:I1048576">
    <cfRule type="cellIs" dxfId="3" priority="1" operator="equal">
      <formula>"売切在庫品"</formula>
    </cfRule>
    <cfRule type="cellIs" dxfId="2" priority="2" operator="equal">
      <formula>"受注生産品"</formula>
    </cfRule>
    <cfRule type="cellIs" dxfId="1" priority="6" operator="equal">
      <formula>"価格表削除"</formula>
    </cfRule>
    <cfRule type="cellIs" dxfId="0" priority="8" operator="equal">
      <formula>"取寄品"</formula>
    </cfRule>
  </conditionalFormatting>
  <printOptions horizontalCentered="1"/>
  <pageMargins left="0" right="0" top="0.39370078740157483" bottom="0" header="0" footer="0"/>
  <pageSetup paperSize="9" orientation="portrait" verticalDpi="0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B2CC-1023-45AB-BE19-6D37C8F3CE5E}">
  <dimension ref="A1:C822"/>
  <sheetViews>
    <sheetView workbookViewId="0">
      <selection activeCell="B2" sqref="B2"/>
    </sheetView>
  </sheetViews>
  <sheetFormatPr defaultRowHeight="18.75" x14ac:dyDescent="0.4"/>
  <cols>
    <col min="1" max="1" width="13" bestFit="1" customWidth="1"/>
    <col min="2" max="2" width="11.25" bestFit="1" customWidth="1"/>
    <col min="3" max="3" width="7.125" style="113" bestFit="1" customWidth="1"/>
  </cols>
  <sheetData>
    <row r="1" spans="1:3" x14ac:dyDescent="0.4">
      <c r="A1" t="s">
        <v>3138</v>
      </c>
      <c r="B1" t="s">
        <v>3139</v>
      </c>
      <c r="C1" s="113" t="s">
        <v>3140</v>
      </c>
    </row>
    <row r="2" spans="1:3" x14ac:dyDescent="0.4">
      <c r="C2" s="113" t="str">
        <f>IF(B2="","",_xlfn.XLOOKUP(B2,お客様CD!$A:$A,お客様CD!$B:$B,"",0))</f>
        <v/>
      </c>
    </row>
    <row r="3" spans="1:3" x14ac:dyDescent="0.4">
      <c r="C3" s="113" t="str">
        <f>IF(B3="","",_xlfn.XLOOKUP(B3,お客様CD!$A:$A,お客様CD!$B:$B,"",0))</f>
        <v/>
      </c>
    </row>
    <row r="4" spans="1:3" x14ac:dyDescent="0.4">
      <c r="C4" s="113" t="str">
        <f>IF(B4="","",_xlfn.XLOOKUP(B4,お客様CD!$A:$A,お客様CD!$B:$B,"",0))</f>
        <v/>
      </c>
    </row>
    <row r="5" spans="1:3" x14ac:dyDescent="0.4">
      <c r="C5" s="113" t="str">
        <f>IF(B5="","",_xlfn.XLOOKUP(B5,お客様CD!$A:$A,お客様CD!$B:$B,"",0))</f>
        <v/>
      </c>
    </row>
    <row r="6" spans="1:3" x14ac:dyDescent="0.4">
      <c r="C6" s="113" t="str">
        <f>IF(B6="","",_xlfn.XLOOKUP(B6,お客様CD!$A:$A,お客様CD!$B:$B,"",0))</f>
        <v/>
      </c>
    </row>
    <row r="7" spans="1:3" x14ac:dyDescent="0.4">
      <c r="C7" s="113" t="str">
        <f>IF(B7="","",_xlfn.XLOOKUP(B7,お客様CD!$A:$A,お客様CD!$B:$B,"",0))</f>
        <v/>
      </c>
    </row>
    <row r="8" spans="1:3" x14ac:dyDescent="0.4">
      <c r="C8" s="113" t="str">
        <f>IF(B8="","",_xlfn.XLOOKUP(B8,お客様CD!$A:$A,お客様CD!$B:$B,"",0))</f>
        <v/>
      </c>
    </row>
    <row r="9" spans="1:3" x14ac:dyDescent="0.4">
      <c r="C9" s="113" t="str">
        <f>IF(B9="","",_xlfn.XLOOKUP(B9,お客様CD!$A:$A,お客様CD!$B:$B,"",0))</f>
        <v/>
      </c>
    </row>
    <row r="10" spans="1:3" x14ac:dyDescent="0.4">
      <c r="C10" s="113" t="str">
        <f>IF(B10="","",_xlfn.XLOOKUP(B10,お客様CD!$A:$A,お客様CD!$B:$B,"",0))</f>
        <v/>
      </c>
    </row>
    <row r="11" spans="1:3" x14ac:dyDescent="0.4">
      <c r="C11" s="113" t="str">
        <f>IF(B11="","",_xlfn.XLOOKUP(B11,お客様CD!$A:$A,お客様CD!$B:$B,"",0))</f>
        <v/>
      </c>
    </row>
    <row r="12" spans="1:3" x14ac:dyDescent="0.4">
      <c r="C12" s="113" t="str">
        <f>IF(B12="","",_xlfn.XLOOKUP(B12,お客様CD!$A:$A,お客様CD!$B:$B,"",0))</f>
        <v/>
      </c>
    </row>
    <row r="13" spans="1:3" x14ac:dyDescent="0.4">
      <c r="C13" s="113" t="str">
        <f>IF(B13="","",_xlfn.XLOOKUP(B13,お客様CD!$A:$A,お客様CD!$B:$B,"",0))</f>
        <v/>
      </c>
    </row>
    <row r="14" spans="1:3" x14ac:dyDescent="0.4">
      <c r="C14" s="113" t="str">
        <f>IF(B14="","",_xlfn.XLOOKUP(B14,お客様CD!$A:$A,お客様CD!$B:$B,"",0))</f>
        <v/>
      </c>
    </row>
    <row r="15" spans="1:3" x14ac:dyDescent="0.4">
      <c r="C15" s="113" t="str">
        <f>IF(B15="","",_xlfn.XLOOKUP(B15,お客様CD!$A:$A,お客様CD!$B:$B,"",0))</f>
        <v/>
      </c>
    </row>
    <row r="16" spans="1:3" x14ac:dyDescent="0.4">
      <c r="C16" s="113" t="str">
        <f>IF(B16="","",_xlfn.XLOOKUP(B16,お客様CD!$A:$A,お客様CD!$B:$B,"",0))</f>
        <v/>
      </c>
    </row>
    <row r="17" spans="3:3" x14ac:dyDescent="0.4">
      <c r="C17" s="113" t="str">
        <f>IF(B17="","",_xlfn.XLOOKUP(B17,お客様CD!$A:$A,お客様CD!$B:$B,"",0))</f>
        <v/>
      </c>
    </row>
    <row r="18" spans="3:3" x14ac:dyDescent="0.4">
      <c r="C18" s="113" t="str">
        <f>IF(B18="","",_xlfn.XLOOKUP(B18,お客様CD!$A:$A,お客様CD!$B:$B,"",0))</f>
        <v/>
      </c>
    </row>
    <row r="19" spans="3:3" x14ac:dyDescent="0.4">
      <c r="C19" s="113" t="str">
        <f>IF(B19="","",_xlfn.XLOOKUP(B19,お客様CD!$A:$A,お客様CD!$B:$B,"",0))</f>
        <v/>
      </c>
    </row>
    <row r="20" spans="3:3" x14ac:dyDescent="0.4">
      <c r="C20" s="113" t="str">
        <f>IF(B20="","",_xlfn.XLOOKUP(B20,お客様CD!$A:$A,お客様CD!$B:$B,"",0))</f>
        <v/>
      </c>
    </row>
    <row r="21" spans="3:3" x14ac:dyDescent="0.4">
      <c r="C21" s="113" t="str">
        <f>IF(B21="","",_xlfn.XLOOKUP(B21,お客様CD!$A:$A,お客様CD!$B:$B,"",0))</f>
        <v/>
      </c>
    </row>
    <row r="22" spans="3:3" x14ac:dyDescent="0.4">
      <c r="C22" s="113" t="str">
        <f>IF(B22="","",_xlfn.XLOOKUP(B22,お客様CD!$A:$A,お客様CD!$B:$B,"",0))</f>
        <v/>
      </c>
    </row>
    <row r="23" spans="3:3" x14ac:dyDescent="0.4">
      <c r="C23" s="113" t="str">
        <f>IF(B23="","",_xlfn.XLOOKUP(B23,お客様CD!$A:$A,お客様CD!$B:$B,"",0))</f>
        <v/>
      </c>
    </row>
    <row r="24" spans="3:3" x14ac:dyDescent="0.4">
      <c r="C24" s="113" t="str">
        <f>IF(B24="","",_xlfn.XLOOKUP(B24,お客様CD!$A:$A,お客様CD!$B:$B,"",0))</f>
        <v/>
      </c>
    </row>
    <row r="25" spans="3:3" x14ac:dyDescent="0.4">
      <c r="C25" s="113" t="str">
        <f>IF(B25="","",_xlfn.XLOOKUP(B25,お客様CD!$A:$A,お客様CD!$B:$B,"",0))</f>
        <v/>
      </c>
    </row>
    <row r="26" spans="3:3" x14ac:dyDescent="0.4">
      <c r="C26" s="113" t="str">
        <f>IF(B26="","",_xlfn.XLOOKUP(B26,お客様CD!$A:$A,お客様CD!$B:$B,"",0))</f>
        <v/>
      </c>
    </row>
    <row r="27" spans="3:3" x14ac:dyDescent="0.4">
      <c r="C27" s="113" t="str">
        <f>IF(B27="","",_xlfn.XLOOKUP(B27,お客様CD!$A:$A,お客様CD!$B:$B,"",0))</f>
        <v/>
      </c>
    </row>
    <row r="28" spans="3:3" x14ac:dyDescent="0.4">
      <c r="C28" s="113" t="str">
        <f>IF(B28="","",_xlfn.XLOOKUP(B28,お客様CD!$A:$A,お客様CD!$B:$B,"",0))</f>
        <v/>
      </c>
    </row>
    <row r="29" spans="3:3" x14ac:dyDescent="0.4">
      <c r="C29" s="113" t="str">
        <f>IF(B29="","",_xlfn.XLOOKUP(B29,お客様CD!$A:$A,お客様CD!$B:$B,"",0))</f>
        <v/>
      </c>
    </row>
    <row r="30" spans="3:3" x14ac:dyDescent="0.4">
      <c r="C30" s="113" t="str">
        <f>IF(B30="","",_xlfn.XLOOKUP(B30,お客様CD!$A:$A,お客様CD!$B:$B,"",0))</f>
        <v/>
      </c>
    </row>
    <row r="31" spans="3:3" x14ac:dyDescent="0.4">
      <c r="C31" s="113" t="str">
        <f>IF(B31="","",_xlfn.XLOOKUP(B31,お客様CD!$A:$A,お客様CD!$B:$B,"",0))</f>
        <v/>
      </c>
    </row>
    <row r="32" spans="3:3" x14ac:dyDescent="0.4">
      <c r="C32" s="113" t="str">
        <f>IF(B32="","",_xlfn.XLOOKUP(B32,お客様CD!$A:$A,お客様CD!$B:$B,"",0))</f>
        <v/>
      </c>
    </row>
    <row r="33" spans="3:3" x14ac:dyDescent="0.4">
      <c r="C33" s="113" t="str">
        <f>IF(B33="","",_xlfn.XLOOKUP(B33,お客様CD!$A:$A,お客様CD!$B:$B,"",0))</f>
        <v/>
      </c>
    </row>
    <row r="34" spans="3:3" x14ac:dyDescent="0.4">
      <c r="C34" s="113" t="str">
        <f>IF(B34="","",_xlfn.XLOOKUP(B34,お客様CD!$A:$A,お客様CD!$B:$B,"",0))</f>
        <v/>
      </c>
    </row>
    <row r="35" spans="3:3" x14ac:dyDescent="0.4">
      <c r="C35" s="113" t="str">
        <f>IF(B35="","",_xlfn.XLOOKUP(B35,お客様CD!$A:$A,お客様CD!$B:$B,"",0))</f>
        <v/>
      </c>
    </row>
    <row r="36" spans="3:3" x14ac:dyDescent="0.4">
      <c r="C36" s="113" t="str">
        <f>IF(B36="","",_xlfn.XLOOKUP(B36,お客様CD!$A:$A,お客様CD!$B:$B,"",0))</f>
        <v/>
      </c>
    </row>
    <row r="37" spans="3:3" x14ac:dyDescent="0.4">
      <c r="C37" s="113" t="str">
        <f>IF(B37="","",_xlfn.XLOOKUP(B37,お客様CD!$A:$A,お客様CD!$B:$B,"",0))</f>
        <v/>
      </c>
    </row>
    <row r="38" spans="3:3" x14ac:dyDescent="0.4">
      <c r="C38" s="113" t="str">
        <f>IF(B38="","",_xlfn.XLOOKUP(B38,お客様CD!$A:$A,お客様CD!$B:$B,"",0))</f>
        <v/>
      </c>
    </row>
    <row r="39" spans="3:3" x14ac:dyDescent="0.4">
      <c r="C39" s="113" t="str">
        <f>IF(B39="","",_xlfn.XLOOKUP(B39,お客様CD!$A:$A,お客様CD!$B:$B,"",0))</f>
        <v/>
      </c>
    </row>
    <row r="40" spans="3:3" x14ac:dyDescent="0.4">
      <c r="C40" s="113" t="str">
        <f>IF(B40="","",_xlfn.XLOOKUP(B40,お客様CD!$A:$A,お客様CD!$B:$B,"",0))</f>
        <v/>
      </c>
    </row>
    <row r="41" spans="3:3" x14ac:dyDescent="0.4">
      <c r="C41" s="113" t="str">
        <f>IF(B41="","",_xlfn.XLOOKUP(B41,お客様CD!$A:$A,お客様CD!$B:$B,"",0))</f>
        <v/>
      </c>
    </row>
    <row r="42" spans="3:3" x14ac:dyDescent="0.4">
      <c r="C42" s="113" t="str">
        <f>IF(B42="","",_xlfn.XLOOKUP(B42,お客様CD!$A:$A,お客様CD!$B:$B,"",0))</f>
        <v/>
      </c>
    </row>
    <row r="43" spans="3:3" x14ac:dyDescent="0.4">
      <c r="C43" s="113" t="str">
        <f>IF(B43="","",_xlfn.XLOOKUP(B43,お客様CD!$A:$A,お客様CD!$B:$B,"",0))</f>
        <v/>
      </c>
    </row>
    <row r="44" spans="3:3" x14ac:dyDescent="0.4">
      <c r="C44" s="113" t="str">
        <f>IF(B44="","",_xlfn.XLOOKUP(B44,お客様CD!$A:$A,お客様CD!$B:$B,"",0))</f>
        <v/>
      </c>
    </row>
    <row r="45" spans="3:3" x14ac:dyDescent="0.4">
      <c r="C45" s="113" t="str">
        <f>IF(B45="","",_xlfn.XLOOKUP(B45,お客様CD!$A:$A,お客様CD!$B:$B,"",0))</f>
        <v/>
      </c>
    </row>
    <row r="46" spans="3:3" x14ac:dyDescent="0.4">
      <c r="C46" s="113" t="str">
        <f>IF(B46="","",_xlfn.XLOOKUP(B46,お客様CD!$A:$A,お客様CD!$B:$B,"",0))</f>
        <v/>
      </c>
    </row>
    <row r="47" spans="3:3" x14ac:dyDescent="0.4">
      <c r="C47" s="113" t="str">
        <f>IF(B47="","",_xlfn.XLOOKUP(B47,お客様CD!$A:$A,お客様CD!$B:$B,"",0))</f>
        <v/>
      </c>
    </row>
    <row r="48" spans="3:3" x14ac:dyDescent="0.4">
      <c r="C48" s="113" t="str">
        <f>IF(B48="","",_xlfn.XLOOKUP(B48,お客様CD!$A:$A,お客様CD!$B:$B,"",0))</f>
        <v/>
      </c>
    </row>
    <row r="49" spans="3:3" x14ac:dyDescent="0.4">
      <c r="C49" s="113" t="str">
        <f>IF(B49="","",_xlfn.XLOOKUP(B49,お客様CD!$A:$A,お客様CD!$B:$B,"",0))</f>
        <v/>
      </c>
    </row>
    <row r="50" spans="3:3" x14ac:dyDescent="0.4">
      <c r="C50" s="113" t="str">
        <f>IF(B50="","",_xlfn.XLOOKUP(B50,お客様CD!$A:$A,お客様CD!$B:$B,"",0))</f>
        <v/>
      </c>
    </row>
    <row r="51" spans="3:3" x14ac:dyDescent="0.4">
      <c r="C51" s="113" t="str">
        <f>IF(B51="","",_xlfn.XLOOKUP(B51,お客様CD!$A:$A,お客様CD!$B:$B,"",0))</f>
        <v/>
      </c>
    </row>
    <row r="52" spans="3:3" x14ac:dyDescent="0.4">
      <c r="C52" s="113" t="str">
        <f>IF(B52="","",_xlfn.XLOOKUP(B52,お客様CD!$A:$A,お客様CD!$B:$B,"",0))</f>
        <v/>
      </c>
    </row>
    <row r="53" spans="3:3" x14ac:dyDescent="0.4">
      <c r="C53" s="113" t="str">
        <f>IF(B53="","",_xlfn.XLOOKUP(B53,お客様CD!$A:$A,お客様CD!$B:$B,"",0))</f>
        <v/>
      </c>
    </row>
    <row r="54" spans="3:3" x14ac:dyDescent="0.4">
      <c r="C54" s="113" t="str">
        <f>IF(B54="","",_xlfn.XLOOKUP(B54,お客様CD!$A:$A,お客様CD!$B:$B,"",0))</f>
        <v/>
      </c>
    </row>
    <row r="55" spans="3:3" x14ac:dyDescent="0.4">
      <c r="C55" s="113" t="str">
        <f>IF(B55="","",_xlfn.XLOOKUP(B55,お客様CD!$A:$A,お客様CD!$B:$B,"",0))</f>
        <v/>
      </c>
    </row>
    <row r="56" spans="3:3" x14ac:dyDescent="0.4">
      <c r="C56" s="113" t="str">
        <f>IF(B56="","",_xlfn.XLOOKUP(B56,お客様CD!$A:$A,お客様CD!$B:$B,"",0))</f>
        <v/>
      </c>
    </row>
    <row r="57" spans="3:3" x14ac:dyDescent="0.4">
      <c r="C57" s="113" t="str">
        <f>IF(B57="","",_xlfn.XLOOKUP(B57,お客様CD!$A:$A,お客様CD!$B:$B,"",0))</f>
        <v/>
      </c>
    </row>
    <row r="58" spans="3:3" x14ac:dyDescent="0.4">
      <c r="C58" s="113" t="str">
        <f>IF(B58="","",_xlfn.XLOOKUP(B58,お客様CD!$A:$A,お客様CD!$B:$B,"",0))</f>
        <v/>
      </c>
    </row>
    <row r="59" spans="3:3" x14ac:dyDescent="0.4">
      <c r="C59" s="113" t="str">
        <f>IF(B59="","",_xlfn.XLOOKUP(B59,お客様CD!$A:$A,お客様CD!$B:$B,"",0))</f>
        <v/>
      </c>
    </row>
    <row r="60" spans="3:3" x14ac:dyDescent="0.4">
      <c r="C60" s="113" t="str">
        <f>IF(B60="","",_xlfn.XLOOKUP(B60,お客様CD!$A:$A,お客様CD!$B:$B,"",0))</f>
        <v/>
      </c>
    </row>
    <row r="61" spans="3:3" x14ac:dyDescent="0.4">
      <c r="C61" s="113" t="str">
        <f>IF(B61="","",_xlfn.XLOOKUP(B61,お客様CD!$A:$A,お客様CD!$B:$B,"",0))</f>
        <v/>
      </c>
    </row>
    <row r="62" spans="3:3" x14ac:dyDescent="0.4">
      <c r="C62" s="113" t="str">
        <f>IF(B62="","",_xlfn.XLOOKUP(B62,お客様CD!$A:$A,お客様CD!$B:$B,"",0))</f>
        <v/>
      </c>
    </row>
    <row r="63" spans="3:3" x14ac:dyDescent="0.4">
      <c r="C63" s="113" t="str">
        <f>IF(B63="","",_xlfn.XLOOKUP(B63,お客様CD!$A:$A,お客様CD!$B:$B,"",0))</f>
        <v/>
      </c>
    </row>
    <row r="64" spans="3:3" x14ac:dyDescent="0.4">
      <c r="C64" s="113" t="str">
        <f>IF(B64="","",_xlfn.XLOOKUP(B64,お客様CD!$A:$A,お客様CD!$B:$B,"",0))</f>
        <v/>
      </c>
    </row>
    <row r="65" spans="3:3" x14ac:dyDescent="0.4">
      <c r="C65" s="113" t="str">
        <f>IF(B65="","",_xlfn.XLOOKUP(B65,お客様CD!$A:$A,お客様CD!$B:$B,"",0))</f>
        <v/>
      </c>
    </row>
    <row r="66" spans="3:3" x14ac:dyDescent="0.4">
      <c r="C66" s="113" t="str">
        <f>IF(B66="","",_xlfn.XLOOKUP(B66,お客様CD!$A:$A,お客様CD!$B:$B,"",0))</f>
        <v/>
      </c>
    </row>
    <row r="67" spans="3:3" x14ac:dyDescent="0.4">
      <c r="C67" s="113" t="str">
        <f>IF(B67="","",_xlfn.XLOOKUP(B67,お客様CD!$A:$A,お客様CD!$B:$B,"",0))</f>
        <v/>
      </c>
    </row>
    <row r="68" spans="3:3" x14ac:dyDescent="0.4">
      <c r="C68" s="113" t="str">
        <f>IF(B68="","",_xlfn.XLOOKUP(B68,お客様CD!$A:$A,お客様CD!$B:$B,"",0))</f>
        <v/>
      </c>
    </row>
    <row r="69" spans="3:3" x14ac:dyDescent="0.4">
      <c r="C69" s="113" t="str">
        <f>IF(B69="","",_xlfn.XLOOKUP(B69,お客様CD!$A:$A,お客様CD!$B:$B,"",0))</f>
        <v/>
      </c>
    </row>
    <row r="70" spans="3:3" x14ac:dyDescent="0.4">
      <c r="C70" s="113" t="str">
        <f>IF(B70="","",_xlfn.XLOOKUP(B70,お客様CD!$A:$A,お客様CD!$B:$B,"",0))</f>
        <v/>
      </c>
    </row>
    <row r="71" spans="3:3" x14ac:dyDescent="0.4">
      <c r="C71" s="113" t="str">
        <f>IF(B71="","",_xlfn.XLOOKUP(B71,お客様CD!$A:$A,お客様CD!$B:$B,"",0))</f>
        <v/>
      </c>
    </row>
    <row r="72" spans="3:3" x14ac:dyDescent="0.4">
      <c r="C72" s="113" t="str">
        <f>IF(B72="","",_xlfn.XLOOKUP(B72,お客様CD!$A:$A,お客様CD!$B:$B,"",0))</f>
        <v/>
      </c>
    </row>
    <row r="73" spans="3:3" x14ac:dyDescent="0.4">
      <c r="C73" s="113" t="str">
        <f>IF(B73="","",_xlfn.XLOOKUP(B73,お客様CD!$A:$A,お客様CD!$B:$B,"",0))</f>
        <v/>
      </c>
    </row>
    <row r="74" spans="3:3" x14ac:dyDescent="0.4">
      <c r="C74" s="113" t="str">
        <f>IF(B74="","",_xlfn.XLOOKUP(B74,お客様CD!$A:$A,お客様CD!$B:$B,"",0))</f>
        <v/>
      </c>
    </row>
    <row r="75" spans="3:3" x14ac:dyDescent="0.4">
      <c r="C75" s="113" t="str">
        <f>IF(B75="","",_xlfn.XLOOKUP(B75,お客様CD!$A:$A,お客様CD!$B:$B,"",0))</f>
        <v/>
      </c>
    </row>
    <row r="76" spans="3:3" x14ac:dyDescent="0.4">
      <c r="C76" s="113" t="str">
        <f>IF(B76="","",_xlfn.XLOOKUP(B76,お客様CD!$A:$A,お客様CD!$B:$B,"",0))</f>
        <v/>
      </c>
    </row>
    <row r="77" spans="3:3" x14ac:dyDescent="0.4">
      <c r="C77" s="113" t="str">
        <f>IF(B77="","",_xlfn.XLOOKUP(B77,お客様CD!$A:$A,お客様CD!$B:$B,"",0))</f>
        <v/>
      </c>
    </row>
    <row r="78" spans="3:3" x14ac:dyDescent="0.4">
      <c r="C78" s="113" t="str">
        <f>IF(B78="","",_xlfn.XLOOKUP(B78,お客様CD!$A:$A,お客様CD!$B:$B,"",0))</f>
        <v/>
      </c>
    </row>
    <row r="79" spans="3:3" x14ac:dyDescent="0.4">
      <c r="C79" s="113" t="str">
        <f>IF(B79="","",_xlfn.XLOOKUP(B79,お客様CD!$A:$A,お客様CD!$B:$B,"",0))</f>
        <v/>
      </c>
    </row>
    <row r="80" spans="3:3" x14ac:dyDescent="0.4">
      <c r="C80" s="113" t="str">
        <f>IF(B80="","",_xlfn.XLOOKUP(B80,お客様CD!$A:$A,お客様CD!$B:$B,"",0))</f>
        <v/>
      </c>
    </row>
    <row r="81" spans="3:3" x14ac:dyDescent="0.4">
      <c r="C81" s="113" t="str">
        <f>IF(B81="","",_xlfn.XLOOKUP(B81,お客様CD!$A:$A,お客様CD!$B:$B,"",0))</f>
        <v/>
      </c>
    </row>
    <row r="82" spans="3:3" x14ac:dyDescent="0.4">
      <c r="C82" s="113" t="str">
        <f>IF(B82="","",_xlfn.XLOOKUP(B82,お客様CD!$A:$A,お客様CD!$B:$B,"",0))</f>
        <v/>
      </c>
    </row>
    <row r="83" spans="3:3" x14ac:dyDescent="0.4">
      <c r="C83" s="113" t="str">
        <f>IF(B83="","",_xlfn.XLOOKUP(B83,お客様CD!$A:$A,お客様CD!$B:$B,"",0))</f>
        <v/>
      </c>
    </row>
    <row r="84" spans="3:3" x14ac:dyDescent="0.4">
      <c r="C84" s="113" t="str">
        <f>IF(B84="","",_xlfn.XLOOKUP(B84,お客様CD!$A:$A,お客様CD!$B:$B,"",0))</f>
        <v/>
      </c>
    </row>
    <row r="85" spans="3:3" x14ac:dyDescent="0.4">
      <c r="C85" s="113" t="str">
        <f>IF(B85="","",_xlfn.XLOOKUP(B85,お客様CD!$A:$A,お客様CD!$B:$B,"",0))</f>
        <v/>
      </c>
    </row>
    <row r="86" spans="3:3" x14ac:dyDescent="0.4">
      <c r="C86" s="113" t="str">
        <f>IF(B86="","",_xlfn.XLOOKUP(B86,お客様CD!$A:$A,お客様CD!$B:$B,"",0))</f>
        <v/>
      </c>
    </row>
    <row r="87" spans="3:3" x14ac:dyDescent="0.4">
      <c r="C87" s="113" t="str">
        <f>IF(B87="","",_xlfn.XLOOKUP(B87,お客様CD!$A:$A,お客様CD!$B:$B,"",0))</f>
        <v/>
      </c>
    </row>
    <row r="88" spans="3:3" x14ac:dyDescent="0.4">
      <c r="C88" s="113" t="str">
        <f>IF(B88="","",_xlfn.XLOOKUP(B88,お客様CD!$A:$A,お客様CD!$B:$B,"",0))</f>
        <v/>
      </c>
    </row>
    <row r="89" spans="3:3" x14ac:dyDescent="0.4">
      <c r="C89" s="113" t="str">
        <f>IF(B89="","",_xlfn.XLOOKUP(B89,お客様CD!$A:$A,お客様CD!$B:$B,"",0))</f>
        <v/>
      </c>
    </row>
    <row r="90" spans="3:3" x14ac:dyDescent="0.4">
      <c r="C90" s="113" t="str">
        <f>IF(B90="","",_xlfn.XLOOKUP(B90,お客様CD!$A:$A,お客様CD!$B:$B,"",0))</f>
        <v/>
      </c>
    </row>
    <row r="91" spans="3:3" x14ac:dyDescent="0.4">
      <c r="C91" s="113" t="str">
        <f>IF(B91="","",_xlfn.XLOOKUP(B91,お客様CD!$A:$A,お客様CD!$B:$B,"",0))</f>
        <v/>
      </c>
    </row>
    <row r="92" spans="3:3" x14ac:dyDescent="0.4">
      <c r="C92" s="113" t="str">
        <f>IF(B92="","",_xlfn.XLOOKUP(B92,お客様CD!$A:$A,お客様CD!$B:$B,"",0))</f>
        <v/>
      </c>
    </row>
    <row r="93" spans="3:3" x14ac:dyDescent="0.4">
      <c r="C93" s="113" t="str">
        <f>IF(B93="","",_xlfn.XLOOKUP(B93,お客様CD!$A:$A,お客様CD!$B:$B,"",0))</f>
        <v/>
      </c>
    </row>
    <row r="94" spans="3:3" x14ac:dyDescent="0.4">
      <c r="C94" s="113" t="str">
        <f>IF(B94="","",_xlfn.XLOOKUP(B94,お客様CD!$A:$A,お客様CD!$B:$B,"",0))</f>
        <v/>
      </c>
    </row>
    <row r="95" spans="3:3" x14ac:dyDescent="0.4">
      <c r="C95" s="113" t="str">
        <f>IF(B95="","",_xlfn.XLOOKUP(B95,お客様CD!$A:$A,お客様CD!$B:$B,"",0))</f>
        <v/>
      </c>
    </row>
    <row r="96" spans="3:3" x14ac:dyDescent="0.4">
      <c r="C96" s="113" t="str">
        <f>IF(B96="","",_xlfn.XLOOKUP(B96,お客様CD!$A:$A,お客様CD!$B:$B,"",0))</f>
        <v/>
      </c>
    </row>
    <row r="97" spans="3:3" x14ac:dyDescent="0.4">
      <c r="C97" s="113" t="str">
        <f>IF(B97="","",_xlfn.XLOOKUP(B97,お客様CD!$A:$A,お客様CD!$B:$B,"",0))</f>
        <v/>
      </c>
    </row>
    <row r="98" spans="3:3" x14ac:dyDescent="0.4">
      <c r="C98" s="113" t="str">
        <f>IF(B98="","",_xlfn.XLOOKUP(B98,お客様CD!$A:$A,お客様CD!$B:$B,"",0))</f>
        <v/>
      </c>
    </row>
    <row r="99" spans="3:3" x14ac:dyDescent="0.4">
      <c r="C99" s="113" t="str">
        <f>IF(B99="","",_xlfn.XLOOKUP(B99,お客様CD!$A:$A,お客様CD!$B:$B,"",0))</f>
        <v/>
      </c>
    </row>
    <row r="100" spans="3:3" x14ac:dyDescent="0.4">
      <c r="C100" s="113" t="str">
        <f>IF(B100="","",_xlfn.XLOOKUP(B100,お客様CD!$A:$A,お客様CD!$B:$B,"",0))</f>
        <v/>
      </c>
    </row>
    <row r="101" spans="3:3" x14ac:dyDescent="0.4">
      <c r="C101" s="113" t="str">
        <f>IF(B101="","",_xlfn.XLOOKUP(B101,お客様CD!$A:$A,お客様CD!$B:$B,"",0))</f>
        <v/>
      </c>
    </row>
    <row r="102" spans="3:3" x14ac:dyDescent="0.4">
      <c r="C102" s="113" t="str">
        <f>IF(B102="","",_xlfn.XLOOKUP(B102,お客様CD!$A:$A,お客様CD!$B:$B,"",0))</f>
        <v/>
      </c>
    </row>
    <row r="103" spans="3:3" x14ac:dyDescent="0.4">
      <c r="C103" s="113" t="str">
        <f>IF(B103="","",_xlfn.XLOOKUP(B103,お客様CD!$A:$A,お客様CD!$B:$B,"",0))</f>
        <v/>
      </c>
    </row>
    <row r="104" spans="3:3" x14ac:dyDescent="0.4">
      <c r="C104" s="113" t="str">
        <f>IF(B104="","",_xlfn.XLOOKUP(B104,お客様CD!$A:$A,お客様CD!$B:$B,"",0))</f>
        <v/>
      </c>
    </row>
    <row r="105" spans="3:3" x14ac:dyDescent="0.4">
      <c r="C105" s="113" t="str">
        <f>IF(B105="","",_xlfn.XLOOKUP(B105,お客様CD!$A:$A,お客様CD!$B:$B,"",0))</f>
        <v/>
      </c>
    </row>
    <row r="106" spans="3:3" x14ac:dyDescent="0.4">
      <c r="C106" s="113" t="str">
        <f>IF(B106="","",_xlfn.XLOOKUP(B106,お客様CD!$A:$A,お客様CD!$B:$B,"",0))</f>
        <v/>
      </c>
    </row>
    <row r="107" spans="3:3" x14ac:dyDescent="0.4">
      <c r="C107" s="113" t="str">
        <f>IF(B107="","",_xlfn.XLOOKUP(B107,お客様CD!$A:$A,お客様CD!$B:$B,"",0))</f>
        <v/>
      </c>
    </row>
    <row r="108" spans="3:3" x14ac:dyDescent="0.4">
      <c r="C108" s="113" t="str">
        <f>IF(B108="","",_xlfn.XLOOKUP(B108,お客様CD!$A:$A,お客様CD!$B:$B,"",0))</f>
        <v/>
      </c>
    </row>
    <row r="109" spans="3:3" x14ac:dyDescent="0.4">
      <c r="C109" s="113" t="str">
        <f>IF(B109="","",_xlfn.XLOOKUP(B109,お客様CD!$A:$A,お客様CD!$B:$B,"",0))</f>
        <v/>
      </c>
    </row>
    <row r="110" spans="3:3" x14ac:dyDescent="0.4">
      <c r="C110" s="113" t="str">
        <f>IF(B110="","",_xlfn.XLOOKUP(B110,お客様CD!$A:$A,お客様CD!$B:$B,"",0))</f>
        <v/>
      </c>
    </row>
    <row r="111" spans="3:3" x14ac:dyDescent="0.4">
      <c r="C111" s="113" t="str">
        <f>IF(B111="","",_xlfn.XLOOKUP(B111,お客様CD!$A:$A,お客様CD!$B:$B,"",0))</f>
        <v/>
      </c>
    </row>
    <row r="112" spans="3:3" x14ac:dyDescent="0.4">
      <c r="C112" s="113" t="str">
        <f>IF(B112="","",_xlfn.XLOOKUP(B112,お客様CD!$A:$A,お客様CD!$B:$B,"",0))</f>
        <v/>
      </c>
    </row>
    <row r="113" spans="3:3" x14ac:dyDescent="0.4">
      <c r="C113" s="113" t="str">
        <f>IF(B113="","",_xlfn.XLOOKUP(B113,お客様CD!$A:$A,お客様CD!$B:$B,"",0))</f>
        <v/>
      </c>
    </row>
    <row r="114" spans="3:3" x14ac:dyDescent="0.4">
      <c r="C114" s="113" t="str">
        <f>IF(B114="","",_xlfn.XLOOKUP(B114,お客様CD!$A:$A,お客様CD!$B:$B,"",0))</f>
        <v/>
      </c>
    </row>
    <row r="115" spans="3:3" x14ac:dyDescent="0.4">
      <c r="C115" s="113" t="str">
        <f>IF(B115="","",_xlfn.XLOOKUP(B115,お客様CD!$A:$A,お客様CD!$B:$B,"",0))</f>
        <v/>
      </c>
    </row>
    <row r="116" spans="3:3" x14ac:dyDescent="0.4">
      <c r="C116" s="113" t="str">
        <f>IF(B116="","",_xlfn.XLOOKUP(B116,お客様CD!$A:$A,お客様CD!$B:$B,"",0))</f>
        <v/>
      </c>
    </row>
    <row r="117" spans="3:3" x14ac:dyDescent="0.4">
      <c r="C117" s="113" t="str">
        <f>IF(B117="","",_xlfn.XLOOKUP(B117,お客様CD!$A:$A,お客様CD!$B:$B,"",0))</f>
        <v/>
      </c>
    </row>
    <row r="118" spans="3:3" x14ac:dyDescent="0.4">
      <c r="C118" s="113" t="str">
        <f>IF(B118="","",_xlfn.XLOOKUP(B118,お客様CD!$A:$A,お客様CD!$B:$B,"",0))</f>
        <v/>
      </c>
    </row>
    <row r="119" spans="3:3" x14ac:dyDescent="0.4">
      <c r="C119" s="113" t="str">
        <f>IF(B119="","",_xlfn.XLOOKUP(B119,お客様CD!$A:$A,お客様CD!$B:$B,"",0))</f>
        <v/>
      </c>
    </row>
    <row r="120" spans="3:3" x14ac:dyDescent="0.4">
      <c r="C120" s="113" t="str">
        <f>IF(B120="","",_xlfn.XLOOKUP(B120,お客様CD!$A:$A,お客様CD!$B:$B,"",0))</f>
        <v/>
      </c>
    </row>
    <row r="121" spans="3:3" x14ac:dyDescent="0.4">
      <c r="C121" s="113" t="str">
        <f>IF(B121="","",_xlfn.XLOOKUP(B121,お客様CD!$A:$A,お客様CD!$B:$B,"",0))</f>
        <v/>
      </c>
    </row>
    <row r="122" spans="3:3" x14ac:dyDescent="0.4">
      <c r="C122" s="113" t="str">
        <f>IF(B122="","",_xlfn.XLOOKUP(B122,お客様CD!$A:$A,お客様CD!$B:$B,"",0))</f>
        <v/>
      </c>
    </row>
    <row r="123" spans="3:3" x14ac:dyDescent="0.4">
      <c r="C123" s="113" t="str">
        <f>IF(B123="","",_xlfn.XLOOKUP(B123,お客様CD!$A:$A,お客様CD!$B:$B,"",0))</f>
        <v/>
      </c>
    </row>
    <row r="124" spans="3:3" x14ac:dyDescent="0.4">
      <c r="C124" s="113" t="str">
        <f>IF(B124="","",_xlfn.XLOOKUP(B124,お客様CD!$A:$A,お客様CD!$B:$B,"",0))</f>
        <v/>
      </c>
    </row>
    <row r="125" spans="3:3" x14ac:dyDescent="0.4">
      <c r="C125" s="113" t="str">
        <f>IF(B125="","",_xlfn.XLOOKUP(B125,お客様CD!$A:$A,お客様CD!$B:$B,"",0))</f>
        <v/>
      </c>
    </row>
    <row r="126" spans="3:3" x14ac:dyDescent="0.4">
      <c r="C126" s="113" t="str">
        <f>IF(B126="","",_xlfn.XLOOKUP(B126,お客様CD!$A:$A,お客様CD!$B:$B,"",0))</f>
        <v/>
      </c>
    </row>
    <row r="127" spans="3:3" x14ac:dyDescent="0.4">
      <c r="C127" s="113" t="str">
        <f>IF(B127="","",_xlfn.XLOOKUP(B127,お客様CD!$A:$A,お客様CD!$B:$B,"",0))</f>
        <v/>
      </c>
    </row>
    <row r="128" spans="3:3" x14ac:dyDescent="0.4">
      <c r="C128" s="113" t="str">
        <f>IF(B128="","",_xlfn.XLOOKUP(B128,お客様CD!$A:$A,お客様CD!$B:$B,"",0))</f>
        <v/>
      </c>
    </row>
    <row r="129" spans="3:3" x14ac:dyDescent="0.4">
      <c r="C129" s="113" t="str">
        <f>IF(B129="","",_xlfn.XLOOKUP(B129,お客様CD!$A:$A,お客様CD!$B:$B,"",0))</f>
        <v/>
      </c>
    </row>
    <row r="130" spans="3:3" x14ac:dyDescent="0.4">
      <c r="C130" s="113" t="str">
        <f>IF(B130="","",_xlfn.XLOOKUP(B130,お客様CD!$A:$A,お客様CD!$B:$B,"",0))</f>
        <v/>
      </c>
    </row>
    <row r="131" spans="3:3" x14ac:dyDescent="0.4">
      <c r="C131" s="113" t="str">
        <f>IF(B131="","",_xlfn.XLOOKUP(B131,お客様CD!$A:$A,お客様CD!$B:$B,"",0))</f>
        <v/>
      </c>
    </row>
    <row r="132" spans="3:3" x14ac:dyDescent="0.4">
      <c r="C132" s="113" t="str">
        <f>IF(B132="","",_xlfn.XLOOKUP(B132,お客様CD!$A:$A,お客様CD!$B:$B,"",0))</f>
        <v/>
      </c>
    </row>
    <row r="133" spans="3:3" x14ac:dyDescent="0.4">
      <c r="C133" s="113" t="str">
        <f>IF(B133="","",_xlfn.XLOOKUP(B133,お客様CD!$A:$A,お客様CD!$B:$B,"",0))</f>
        <v/>
      </c>
    </row>
    <row r="134" spans="3:3" x14ac:dyDescent="0.4">
      <c r="C134" s="113" t="str">
        <f>IF(B134="","",_xlfn.XLOOKUP(B134,お客様CD!$A:$A,お客様CD!$B:$B,"",0))</f>
        <v/>
      </c>
    </row>
    <row r="135" spans="3:3" x14ac:dyDescent="0.4">
      <c r="C135" s="113" t="str">
        <f>IF(B135="","",_xlfn.XLOOKUP(B135,お客様CD!$A:$A,お客様CD!$B:$B,"",0))</f>
        <v/>
      </c>
    </row>
    <row r="136" spans="3:3" x14ac:dyDescent="0.4">
      <c r="C136" s="113" t="str">
        <f>IF(B136="","",_xlfn.XLOOKUP(B136,お客様CD!$A:$A,お客様CD!$B:$B,"",0))</f>
        <v/>
      </c>
    </row>
    <row r="137" spans="3:3" x14ac:dyDescent="0.4">
      <c r="C137" s="113" t="str">
        <f>IF(B137="","",_xlfn.XLOOKUP(B137,お客様CD!$A:$A,お客様CD!$B:$B,"",0))</f>
        <v/>
      </c>
    </row>
    <row r="138" spans="3:3" x14ac:dyDescent="0.4">
      <c r="C138" s="113" t="str">
        <f>IF(B138="","",_xlfn.XLOOKUP(B138,お客様CD!$A:$A,お客様CD!$B:$B,"",0))</f>
        <v/>
      </c>
    </row>
    <row r="139" spans="3:3" x14ac:dyDescent="0.4">
      <c r="C139" s="113" t="str">
        <f>IF(B139="","",_xlfn.XLOOKUP(B139,お客様CD!$A:$A,お客様CD!$B:$B,"",0))</f>
        <v/>
      </c>
    </row>
    <row r="140" spans="3:3" x14ac:dyDescent="0.4">
      <c r="C140" s="113" t="str">
        <f>IF(B140="","",_xlfn.XLOOKUP(B140,お客様CD!$A:$A,お客様CD!$B:$B,"",0))</f>
        <v/>
      </c>
    </row>
    <row r="141" spans="3:3" x14ac:dyDescent="0.4">
      <c r="C141" s="113" t="str">
        <f>IF(B141="","",_xlfn.XLOOKUP(B141,お客様CD!$A:$A,お客様CD!$B:$B,"",0))</f>
        <v/>
      </c>
    </row>
    <row r="142" spans="3:3" x14ac:dyDescent="0.4">
      <c r="C142" s="113" t="str">
        <f>IF(B142="","",_xlfn.XLOOKUP(B142,お客様CD!$A:$A,お客様CD!$B:$B,"",0))</f>
        <v/>
      </c>
    </row>
    <row r="143" spans="3:3" x14ac:dyDescent="0.4">
      <c r="C143" s="113" t="str">
        <f>IF(B143="","",_xlfn.XLOOKUP(B143,お客様CD!$A:$A,お客様CD!$B:$B,"",0))</f>
        <v/>
      </c>
    </row>
    <row r="144" spans="3:3" x14ac:dyDescent="0.4">
      <c r="C144" s="113" t="str">
        <f>IF(B144="","",_xlfn.XLOOKUP(B144,お客様CD!$A:$A,お客様CD!$B:$B,"",0))</f>
        <v/>
      </c>
    </row>
    <row r="145" spans="3:3" x14ac:dyDescent="0.4">
      <c r="C145" s="113" t="str">
        <f>IF(B145="","",_xlfn.XLOOKUP(B145,お客様CD!$A:$A,お客様CD!$B:$B,"",0))</f>
        <v/>
      </c>
    </row>
    <row r="146" spans="3:3" x14ac:dyDescent="0.4">
      <c r="C146" s="113" t="str">
        <f>IF(B146="","",_xlfn.XLOOKUP(B146,お客様CD!$A:$A,お客様CD!$B:$B,"",0))</f>
        <v/>
      </c>
    </row>
    <row r="147" spans="3:3" x14ac:dyDescent="0.4">
      <c r="C147" s="113" t="str">
        <f>IF(B147="","",_xlfn.XLOOKUP(B147,お客様CD!$A:$A,お客様CD!$B:$B,"",0))</f>
        <v/>
      </c>
    </row>
    <row r="148" spans="3:3" x14ac:dyDescent="0.4">
      <c r="C148" s="113" t="str">
        <f>IF(B148="","",_xlfn.XLOOKUP(B148,お客様CD!$A:$A,お客様CD!$B:$B,"",0))</f>
        <v/>
      </c>
    </row>
    <row r="149" spans="3:3" x14ac:dyDescent="0.4">
      <c r="C149" s="113" t="str">
        <f>IF(B149="","",_xlfn.XLOOKUP(B149,お客様CD!$A:$A,お客様CD!$B:$B,"",0))</f>
        <v/>
      </c>
    </row>
    <row r="150" spans="3:3" x14ac:dyDescent="0.4">
      <c r="C150" s="113" t="str">
        <f>IF(B150="","",_xlfn.XLOOKUP(B150,お客様CD!$A:$A,お客様CD!$B:$B,"",0))</f>
        <v/>
      </c>
    </row>
    <row r="151" spans="3:3" x14ac:dyDescent="0.4">
      <c r="C151" s="113" t="str">
        <f>IF(B151="","",_xlfn.XLOOKUP(B151,お客様CD!$A:$A,お客様CD!$B:$B,"",0))</f>
        <v/>
      </c>
    </row>
    <row r="152" spans="3:3" x14ac:dyDescent="0.4">
      <c r="C152" s="113" t="str">
        <f>IF(B152="","",_xlfn.XLOOKUP(B152,お客様CD!$A:$A,お客様CD!$B:$B,"",0))</f>
        <v/>
      </c>
    </row>
    <row r="153" spans="3:3" x14ac:dyDescent="0.4">
      <c r="C153" s="113" t="str">
        <f>IF(B153="","",_xlfn.XLOOKUP(B153,お客様CD!$A:$A,お客様CD!$B:$B,"",0))</f>
        <v/>
      </c>
    </row>
    <row r="154" spans="3:3" x14ac:dyDescent="0.4">
      <c r="C154" s="113" t="str">
        <f>IF(B154="","",_xlfn.XLOOKUP(B154,お客様CD!$A:$A,お客様CD!$B:$B,"",0))</f>
        <v/>
      </c>
    </row>
    <row r="155" spans="3:3" x14ac:dyDescent="0.4">
      <c r="C155" s="113" t="str">
        <f>IF(B155="","",_xlfn.XLOOKUP(B155,お客様CD!$A:$A,お客様CD!$B:$B,"",0))</f>
        <v/>
      </c>
    </row>
    <row r="156" spans="3:3" x14ac:dyDescent="0.4">
      <c r="C156" s="113" t="str">
        <f>IF(B156="","",_xlfn.XLOOKUP(B156,お客様CD!$A:$A,お客様CD!$B:$B,"",0))</f>
        <v/>
      </c>
    </row>
    <row r="157" spans="3:3" x14ac:dyDescent="0.4">
      <c r="C157" s="113" t="str">
        <f>IF(B157="","",_xlfn.XLOOKUP(B157,お客様CD!$A:$A,お客様CD!$B:$B,"",0))</f>
        <v/>
      </c>
    </row>
    <row r="158" spans="3:3" x14ac:dyDescent="0.4">
      <c r="C158" s="113" t="str">
        <f>IF(B158="","",_xlfn.XLOOKUP(B158,お客様CD!$A:$A,お客様CD!$B:$B,"",0))</f>
        <v/>
      </c>
    </row>
    <row r="159" spans="3:3" x14ac:dyDescent="0.4">
      <c r="C159" s="113" t="str">
        <f>IF(B159="","",_xlfn.XLOOKUP(B159,お客様CD!$A:$A,お客様CD!$B:$B,"",0))</f>
        <v/>
      </c>
    </row>
    <row r="160" spans="3:3" x14ac:dyDescent="0.4">
      <c r="C160" s="113" t="str">
        <f>IF(B160="","",_xlfn.XLOOKUP(B160,お客様CD!$A:$A,お客様CD!$B:$B,"",0))</f>
        <v/>
      </c>
    </row>
    <row r="161" spans="3:3" x14ac:dyDescent="0.4">
      <c r="C161" s="113" t="str">
        <f>IF(B161="","",_xlfn.XLOOKUP(B161,お客様CD!$A:$A,お客様CD!$B:$B,"",0))</f>
        <v/>
      </c>
    </row>
    <row r="162" spans="3:3" x14ac:dyDescent="0.4">
      <c r="C162" s="113" t="str">
        <f>IF(B162="","",_xlfn.XLOOKUP(B162,お客様CD!$A:$A,お客様CD!$B:$B,"",0))</f>
        <v/>
      </c>
    </row>
    <row r="163" spans="3:3" x14ac:dyDescent="0.4">
      <c r="C163" s="113" t="str">
        <f>IF(B163="","",_xlfn.XLOOKUP(B163,お客様CD!$A:$A,お客様CD!$B:$B,"",0))</f>
        <v/>
      </c>
    </row>
    <row r="164" spans="3:3" x14ac:dyDescent="0.4">
      <c r="C164" s="113" t="str">
        <f>IF(B164="","",_xlfn.XLOOKUP(B164,お客様CD!$A:$A,お客様CD!$B:$B,"",0))</f>
        <v/>
      </c>
    </row>
    <row r="165" spans="3:3" x14ac:dyDescent="0.4">
      <c r="C165" s="113" t="str">
        <f>IF(B165="","",_xlfn.XLOOKUP(B165,お客様CD!$A:$A,お客様CD!$B:$B,"",0))</f>
        <v/>
      </c>
    </row>
    <row r="166" spans="3:3" x14ac:dyDescent="0.4">
      <c r="C166" s="113" t="str">
        <f>IF(B166="","",_xlfn.XLOOKUP(B166,お客様CD!$A:$A,お客様CD!$B:$B,"",0))</f>
        <v/>
      </c>
    </row>
    <row r="167" spans="3:3" x14ac:dyDescent="0.4">
      <c r="C167" s="113" t="str">
        <f>IF(B167="","",_xlfn.XLOOKUP(B167,お客様CD!$A:$A,お客様CD!$B:$B,"",0))</f>
        <v/>
      </c>
    </row>
    <row r="168" spans="3:3" x14ac:dyDescent="0.4">
      <c r="C168" s="113" t="str">
        <f>IF(B168="","",_xlfn.XLOOKUP(B168,お客様CD!$A:$A,お客様CD!$B:$B,"",0))</f>
        <v/>
      </c>
    </row>
    <row r="169" spans="3:3" x14ac:dyDescent="0.4">
      <c r="C169" s="113" t="str">
        <f>IF(B169="","",_xlfn.XLOOKUP(B169,お客様CD!$A:$A,お客様CD!$B:$B,"",0))</f>
        <v/>
      </c>
    </row>
    <row r="170" spans="3:3" x14ac:dyDescent="0.4">
      <c r="C170" s="113" t="str">
        <f>IF(B170="","",_xlfn.XLOOKUP(B170,お客様CD!$A:$A,お客様CD!$B:$B,"",0))</f>
        <v/>
      </c>
    </row>
    <row r="171" spans="3:3" x14ac:dyDescent="0.4">
      <c r="C171" s="113" t="str">
        <f>IF(B171="","",_xlfn.XLOOKUP(B171,お客様CD!$A:$A,お客様CD!$B:$B,"",0))</f>
        <v/>
      </c>
    </row>
    <row r="172" spans="3:3" x14ac:dyDescent="0.4">
      <c r="C172" s="113" t="str">
        <f>IF(B172="","",_xlfn.XLOOKUP(B172,お客様CD!$A:$A,お客様CD!$B:$B,"",0))</f>
        <v/>
      </c>
    </row>
    <row r="173" spans="3:3" x14ac:dyDescent="0.4">
      <c r="C173" s="113" t="str">
        <f>IF(B173="","",_xlfn.XLOOKUP(B173,お客様CD!$A:$A,お客様CD!$B:$B,"",0))</f>
        <v/>
      </c>
    </row>
    <row r="174" spans="3:3" x14ac:dyDescent="0.4">
      <c r="C174" s="113" t="str">
        <f>IF(B174="","",_xlfn.XLOOKUP(B174,お客様CD!$A:$A,お客様CD!$B:$B,"",0))</f>
        <v/>
      </c>
    </row>
    <row r="175" spans="3:3" x14ac:dyDescent="0.4">
      <c r="C175" s="113" t="str">
        <f>IF(B175="","",_xlfn.XLOOKUP(B175,お客様CD!$A:$A,お客様CD!$B:$B,"",0))</f>
        <v/>
      </c>
    </row>
    <row r="176" spans="3:3" x14ac:dyDescent="0.4">
      <c r="C176" s="113" t="str">
        <f>IF(B176="","",_xlfn.XLOOKUP(B176,お客様CD!$A:$A,お客様CD!$B:$B,"",0))</f>
        <v/>
      </c>
    </row>
    <row r="177" spans="3:3" x14ac:dyDescent="0.4">
      <c r="C177" s="113" t="str">
        <f>IF(B177="","",_xlfn.XLOOKUP(B177,お客様CD!$A:$A,お客様CD!$B:$B,"",0))</f>
        <v/>
      </c>
    </row>
    <row r="178" spans="3:3" x14ac:dyDescent="0.4">
      <c r="C178" s="113" t="str">
        <f>IF(B178="","",_xlfn.XLOOKUP(B178,お客様CD!$A:$A,お客様CD!$B:$B,"",0))</f>
        <v/>
      </c>
    </row>
    <row r="179" spans="3:3" x14ac:dyDescent="0.4">
      <c r="C179" s="113" t="str">
        <f>IF(B179="","",_xlfn.XLOOKUP(B179,お客様CD!$A:$A,お客様CD!$B:$B,"",0))</f>
        <v/>
      </c>
    </row>
    <row r="180" spans="3:3" x14ac:dyDescent="0.4">
      <c r="C180" s="113" t="str">
        <f>IF(B180="","",_xlfn.XLOOKUP(B180,お客様CD!$A:$A,お客様CD!$B:$B,"",0))</f>
        <v/>
      </c>
    </row>
    <row r="181" spans="3:3" x14ac:dyDescent="0.4">
      <c r="C181" s="113" t="str">
        <f>IF(B181="","",_xlfn.XLOOKUP(B181,お客様CD!$A:$A,お客様CD!$B:$B,"",0))</f>
        <v/>
      </c>
    </row>
    <row r="182" spans="3:3" x14ac:dyDescent="0.4">
      <c r="C182" s="113" t="str">
        <f>IF(B182="","",_xlfn.XLOOKUP(B182,お客様CD!$A:$A,お客様CD!$B:$B,"",0))</f>
        <v/>
      </c>
    </row>
    <row r="183" spans="3:3" x14ac:dyDescent="0.4">
      <c r="C183" s="113" t="str">
        <f>IF(B183="","",_xlfn.XLOOKUP(B183,お客様CD!$A:$A,お客様CD!$B:$B,"",0))</f>
        <v/>
      </c>
    </row>
    <row r="184" spans="3:3" x14ac:dyDescent="0.4">
      <c r="C184" s="113" t="str">
        <f>IF(B184="","",_xlfn.XLOOKUP(B184,お客様CD!$A:$A,お客様CD!$B:$B,"",0))</f>
        <v/>
      </c>
    </row>
    <row r="185" spans="3:3" x14ac:dyDescent="0.4">
      <c r="C185" s="113" t="str">
        <f>IF(B185="","",_xlfn.XLOOKUP(B185,お客様CD!$A:$A,お客様CD!$B:$B,"",0))</f>
        <v/>
      </c>
    </row>
    <row r="186" spans="3:3" x14ac:dyDescent="0.4">
      <c r="C186" s="113" t="str">
        <f>IF(B186="","",_xlfn.XLOOKUP(B186,お客様CD!$A:$A,お客様CD!$B:$B,"",0))</f>
        <v/>
      </c>
    </row>
    <row r="187" spans="3:3" x14ac:dyDescent="0.4">
      <c r="C187" s="113" t="str">
        <f>IF(B187="","",_xlfn.XLOOKUP(B187,お客様CD!$A:$A,お客様CD!$B:$B,"",0))</f>
        <v/>
      </c>
    </row>
    <row r="188" spans="3:3" x14ac:dyDescent="0.4">
      <c r="C188" s="113" t="str">
        <f>IF(B188="","",_xlfn.XLOOKUP(B188,お客様CD!$A:$A,お客様CD!$B:$B,"",0))</f>
        <v/>
      </c>
    </row>
    <row r="189" spans="3:3" x14ac:dyDescent="0.4">
      <c r="C189" s="113" t="str">
        <f>IF(B189="","",_xlfn.XLOOKUP(B189,お客様CD!$A:$A,お客様CD!$B:$B,"",0))</f>
        <v/>
      </c>
    </row>
    <row r="190" spans="3:3" x14ac:dyDescent="0.4">
      <c r="C190" s="113" t="str">
        <f>IF(B190="","",_xlfn.XLOOKUP(B190,お客様CD!$A:$A,お客様CD!$B:$B,"",0))</f>
        <v/>
      </c>
    </row>
    <row r="191" spans="3:3" x14ac:dyDescent="0.4">
      <c r="C191" s="113" t="str">
        <f>IF(B191="","",_xlfn.XLOOKUP(B191,お客様CD!$A:$A,お客様CD!$B:$B,"",0))</f>
        <v/>
      </c>
    </row>
    <row r="192" spans="3:3" x14ac:dyDescent="0.4">
      <c r="C192" s="113" t="str">
        <f>IF(B192="","",_xlfn.XLOOKUP(B192,お客様CD!$A:$A,お客様CD!$B:$B,"",0))</f>
        <v/>
      </c>
    </row>
    <row r="193" spans="3:3" x14ac:dyDescent="0.4">
      <c r="C193" s="113" t="str">
        <f>IF(B193="","",_xlfn.XLOOKUP(B193,お客様CD!$A:$A,お客様CD!$B:$B,"",0))</f>
        <v/>
      </c>
    </row>
    <row r="194" spans="3:3" x14ac:dyDescent="0.4">
      <c r="C194" s="113" t="str">
        <f>IF(B194="","",_xlfn.XLOOKUP(B194,お客様CD!$A:$A,お客様CD!$B:$B,"",0))</f>
        <v/>
      </c>
    </row>
    <row r="195" spans="3:3" x14ac:dyDescent="0.4">
      <c r="C195" s="113" t="str">
        <f>IF(B195="","",_xlfn.XLOOKUP(B195,お客様CD!$A:$A,お客様CD!$B:$B,"",0))</f>
        <v/>
      </c>
    </row>
    <row r="196" spans="3:3" x14ac:dyDescent="0.4">
      <c r="C196" s="113" t="str">
        <f>IF(B196="","",_xlfn.XLOOKUP(B196,お客様CD!$A:$A,お客様CD!$B:$B,"",0))</f>
        <v/>
      </c>
    </row>
    <row r="197" spans="3:3" x14ac:dyDescent="0.4">
      <c r="C197" s="113" t="str">
        <f>IF(B197="","",_xlfn.XLOOKUP(B197,お客様CD!$A:$A,お客様CD!$B:$B,"",0))</f>
        <v/>
      </c>
    </row>
    <row r="198" spans="3:3" x14ac:dyDescent="0.4">
      <c r="C198" s="113" t="str">
        <f>IF(B198="","",_xlfn.XLOOKUP(B198,お客様CD!$A:$A,お客様CD!$B:$B,"",0))</f>
        <v/>
      </c>
    </row>
    <row r="199" spans="3:3" x14ac:dyDescent="0.4">
      <c r="C199" s="113" t="str">
        <f>IF(B199="","",_xlfn.XLOOKUP(B199,お客様CD!$A:$A,お客様CD!$B:$B,"",0))</f>
        <v/>
      </c>
    </row>
    <row r="200" spans="3:3" x14ac:dyDescent="0.4">
      <c r="C200" s="113" t="str">
        <f>IF(B200="","",_xlfn.XLOOKUP(B200,お客様CD!$A:$A,お客様CD!$B:$B,"",0))</f>
        <v/>
      </c>
    </row>
    <row r="201" spans="3:3" x14ac:dyDescent="0.4">
      <c r="C201" s="113" t="str">
        <f>IF(B201="","",_xlfn.XLOOKUP(B201,お客様CD!$A:$A,お客様CD!$B:$B,"",0))</f>
        <v/>
      </c>
    </row>
    <row r="202" spans="3:3" x14ac:dyDescent="0.4">
      <c r="C202" s="113" t="str">
        <f>IF(B202="","",_xlfn.XLOOKUP(B202,お客様CD!$A:$A,お客様CD!$B:$B,"",0))</f>
        <v/>
      </c>
    </row>
    <row r="203" spans="3:3" x14ac:dyDescent="0.4">
      <c r="C203" s="113" t="str">
        <f>IF(B203="","",_xlfn.XLOOKUP(B203,お客様CD!$A:$A,お客様CD!$B:$B,"",0))</f>
        <v/>
      </c>
    </row>
    <row r="204" spans="3:3" x14ac:dyDescent="0.4">
      <c r="C204" s="113" t="str">
        <f>IF(B204="","",_xlfn.XLOOKUP(B204,お客様CD!$A:$A,お客様CD!$B:$B,"",0))</f>
        <v/>
      </c>
    </row>
    <row r="205" spans="3:3" x14ac:dyDescent="0.4">
      <c r="C205" s="113" t="str">
        <f>IF(B205="","",_xlfn.XLOOKUP(B205,お客様CD!$A:$A,お客様CD!$B:$B,"",0))</f>
        <v/>
      </c>
    </row>
    <row r="206" spans="3:3" x14ac:dyDescent="0.4">
      <c r="C206" s="113" t="str">
        <f>IF(B206="","",_xlfn.XLOOKUP(B206,お客様CD!$A:$A,お客様CD!$B:$B,"",0))</f>
        <v/>
      </c>
    </row>
    <row r="207" spans="3:3" x14ac:dyDescent="0.4">
      <c r="C207" s="113" t="str">
        <f>IF(B207="","",_xlfn.XLOOKUP(B207,お客様CD!$A:$A,お客様CD!$B:$B,"",0))</f>
        <v/>
      </c>
    </row>
    <row r="208" spans="3:3" x14ac:dyDescent="0.4">
      <c r="C208" s="113" t="str">
        <f>IF(B208="","",_xlfn.XLOOKUP(B208,お客様CD!$A:$A,お客様CD!$B:$B,"",0))</f>
        <v/>
      </c>
    </row>
    <row r="209" spans="3:3" x14ac:dyDescent="0.4">
      <c r="C209" s="113" t="str">
        <f>IF(B209="","",_xlfn.XLOOKUP(B209,お客様CD!$A:$A,お客様CD!$B:$B,"",0))</f>
        <v/>
      </c>
    </row>
    <row r="210" spans="3:3" x14ac:dyDescent="0.4">
      <c r="C210" s="113" t="str">
        <f>IF(B210="","",_xlfn.XLOOKUP(B210,お客様CD!$A:$A,お客様CD!$B:$B,"",0))</f>
        <v/>
      </c>
    </row>
    <row r="211" spans="3:3" x14ac:dyDescent="0.4">
      <c r="C211" s="113" t="str">
        <f>IF(B211="","",_xlfn.XLOOKUP(B211,お客様CD!$A:$A,お客様CD!$B:$B,"",0))</f>
        <v/>
      </c>
    </row>
    <row r="212" spans="3:3" x14ac:dyDescent="0.4">
      <c r="C212" s="113" t="str">
        <f>IF(B212="","",_xlfn.XLOOKUP(B212,お客様CD!$A:$A,お客様CD!$B:$B,"",0))</f>
        <v/>
      </c>
    </row>
    <row r="213" spans="3:3" x14ac:dyDescent="0.4">
      <c r="C213" s="113" t="str">
        <f>IF(B213="","",_xlfn.XLOOKUP(B213,お客様CD!$A:$A,お客様CD!$B:$B,"",0))</f>
        <v/>
      </c>
    </row>
    <row r="214" spans="3:3" x14ac:dyDescent="0.4">
      <c r="C214" s="113" t="str">
        <f>IF(B214="","",_xlfn.XLOOKUP(B214,お客様CD!$A:$A,お客様CD!$B:$B,"",0))</f>
        <v/>
      </c>
    </row>
    <row r="215" spans="3:3" x14ac:dyDescent="0.4">
      <c r="C215" s="113" t="str">
        <f>IF(B215="","",_xlfn.XLOOKUP(B215,お客様CD!$A:$A,お客様CD!$B:$B,"",0))</f>
        <v/>
      </c>
    </row>
    <row r="216" spans="3:3" x14ac:dyDescent="0.4">
      <c r="C216" s="113" t="str">
        <f>IF(B216="","",_xlfn.XLOOKUP(B216,お客様CD!$A:$A,お客様CD!$B:$B,"",0))</f>
        <v/>
      </c>
    </row>
    <row r="217" spans="3:3" x14ac:dyDescent="0.4">
      <c r="C217" s="113" t="str">
        <f>IF(B217="","",_xlfn.XLOOKUP(B217,お客様CD!$A:$A,お客様CD!$B:$B,"",0))</f>
        <v/>
      </c>
    </row>
    <row r="218" spans="3:3" x14ac:dyDescent="0.4">
      <c r="C218" s="113" t="str">
        <f>IF(B218="","",_xlfn.XLOOKUP(B218,お客様CD!$A:$A,お客様CD!$B:$B,"",0))</f>
        <v/>
      </c>
    </row>
    <row r="219" spans="3:3" x14ac:dyDescent="0.4">
      <c r="C219" s="113" t="str">
        <f>IF(B219="","",_xlfn.XLOOKUP(B219,お客様CD!$A:$A,お客様CD!$B:$B,"",0))</f>
        <v/>
      </c>
    </row>
    <row r="220" spans="3:3" x14ac:dyDescent="0.4">
      <c r="C220" s="113" t="str">
        <f>IF(B220="","",_xlfn.XLOOKUP(B220,お客様CD!$A:$A,お客様CD!$B:$B,"",0))</f>
        <v/>
      </c>
    </row>
    <row r="221" spans="3:3" x14ac:dyDescent="0.4">
      <c r="C221" s="113" t="str">
        <f>IF(B221="","",_xlfn.XLOOKUP(B221,お客様CD!$A:$A,お客様CD!$B:$B,"",0))</f>
        <v/>
      </c>
    </row>
    <row r="222" spans="3:3" x14ac:dyDescent="0.4">
      <c r="C222" s="113" t="str">
        <f>IF(B222="","",_xlfn.XLOOKUP(B222,お客様CD!$A:$A,お客様CD!$B:$B,"",0))</f>
        <v/>
      </c>
    </row>
    <row r="223" spans="3:3" x14ac:dyDescent="0.4">
      <c r="C223" s="113" t="str">
        <f>IF(B223="","",_xlfn.XLOOKUP(B223,お客様CD!$A:$A,お客様CD!$B:$B,"",0))</f>
        <v/>
      </c>
    </row>
    <row r="224" spans="3:3" x14ac:dyDescent="0.4">
      <c r="C224" s="113" t="str">
        <f>IF(B224="","",_xlfn.XLOOKUP(B224,お客様CD!$A:$A,お客様CD!$B:$B,"",0))</f>
        <v/>
      </c>
    </row>
    <row r="225" spans="3:3" x14ac:dyDescent="0.4">
      <c r="C225" s="113" t="str">
        <f>IF(B225="","",_xlfn.XLOOKUP(B225,お客様CD!$A:$A,お客様CD!$B:$B,"",0))</f>
        <v/>
      </c>
    </row>
    <row r="226" spans="3:3" x14ac:dyDescent="0.4">
      <c r="C226" s="113" t="str">
        <f>IF(B226="","",_xlfn.XLOOKUP(B226,お客様CD!$A:$A,お客様CD!$B:$B,"",0))</f>
        <v/>
      </c>
    </row>
    <row r="227" spans="3:3" x14ac:dyDescent="0.4">
      <c r="C227" s="113" t="str">
        <f>IF(B227="","",_xlfn.XLOOKUP(B227,お客様CD!$A:$A,お客様CD!$B:$B,"",0))</f>
        <v/>
      </c>
    </row>
    <row r="228" spans="3:3" x14ac:dyDescent="0.4">
      <c r="C228" s="113" t="str">
        <f>IF(B228="","",_xlfn.XLOOKUP(B228,お客様CD!$A:$A,お客様CD!$B:$B,"",0))</f>
        <v/>
      </c>
    </row>
    <row r="229" spans="3:3" x14ac:dyDescent="0.4">
      <c r="C229" s="113" t="str">
        <f>IF(B229="","",_xlfn.XLOOKUP(B229,お客様CD!$A:$A,お客様CD!$B:$B,"",0))</f>
        <v/>
      </c>
    </row>
    <row r="230" spans="3:3" x14ac:dyDescent="0.4">
      <c r="C230" s="113" t="str">
        <f>IF(B230="","",_xlfn.XLOOKUP(B230,お客様CD!$A:$A,お客様CD!$B:$B,"",0))</f>
        <v/>
      </c>
    </row>
    <row r="231" spans="3:3" x14ac:dyDescent="0.4">
      <c r="C231" s="113" t="str">
        <f>IF(B231="","",_xlfn.XLOOKUP(B231,お客様CD!$A:$A,お客様CD!$B:$B,"",0))</f>
        <v/>
      </c>
    </row>
    <row r="232" spans="3:3" x14ac:dyDescent="0.4">
      <c r="C232" s="113" t="str">
        <f>IF(B232="","",_xlfn.XLOOKUP(B232,お客様CD!$A:$A,お客様CD!$B:$B,"",0))</f>
        <v/>
      </c>
    </row>
    <row r="233" spans="3:3" x14ac:dyDescent="0.4">
      <c r="C233" s="113" t="str">
        <f>IF(B233="","",_xlfn.XLOOKUP(B233,お客様CD!$A:$A,お客様CD!$B:$B,"",0))</f>
        <v/>
      </c>
    </row>
    <row r="234" spans="3:3" x14ac:dyDescent="0.4">
      <c r="C234" s="113" t="str">
        <f>IF(B234="","",_xlfn.XLOOKUP(B234,お客様CD!$A:$A,お客様CD!$B:$B,"",0))</f>
        <v/>
      </c>
    </row>
    <row r="235" spans="3:3" x14ac:dyDescent="0.4">
      <c r="C235" s="113" t="str">
        <f>IF(B235="","",_xlfn.XLOOKUP(B235,お客様CD!$A:$A,お客様CD!$B:$B,"",0))</f>
        <v/>
      </c>
    </row>
    <row r="236" spans="3:3" x14ac:dyDescent="0.4">
      <c r="C236" s="113" t="str">
        <f>IF(B236="","",_xlfn.XLOOKUP(B236,お客様CD!$A:$A,お客様CD!$B:$B,"",0))</f>
        <v/>
      </c>
    </row>
    <row r="237" spans="3:3" x14ac:dyDescent="0.4">
      <c r="C237" s="113" t="str">
        <f>IF(B237="","",_xlfn.XLOOKUP(B237,お客様CD!$A:$A,お客様CD!$B:$B,"",0))</f>
        <v/>
      </c>
    </row>
    <row r="238" spans="3:3" x14ac:dyDescent="0.4">
      <c r="C238" s="113" t="str">
        <f>IF(B238="","",_xlfn.XLOOKUP(B238,お客様CD!$A:$A,お客様CD!$B:$B,"",0))</f>
        <v/>
      </c>
    </row>
    <row r="239" spans="3:3" x14ac:dyDescent="0.4">
      <c r="C239" s="113" t="str">
        <f>IF(B239="","",_xlfn.XLOOKUP(B239,お客様CD!$A:$A,お客様CD!$B:$B,"",0))</f>
        <v/>
      </c>
    </row>
    <row r="240" spans="3:3" x14ac:dyDescent="0.4">
      <c r="C240" s="113" t="str">
        <f>IF(B240="","",_xlfn.XLOOKUP(B240,お客様CD!$A:$A,お客様CD!$B:$B,"",0))</f>
        <v/>
      </c>
    </row>
    <row r="241" spans="3:3" x14ac:dyDescent="0.4">
      <c r="C241" s="113" t="str">
        <f>IF(B241="","",_xlfn.XLOOKUP(B241,お客様CD!$A:$A,お客様CD!$B:$B,"",0))</f>
        <v/>
      </c>
    </row>
    <row r="242" spans="3:3" x14ac:dyDescent="0.4">
      <c r="C242" s="113" t="str">
        <f>IF(B242="","",_xlfn.XLOOKUP(B242,お客様CD!$A:$A,お客様CD!$B:$B,"",0))</f>
        <v/>
      </c>
    </row>
    <row r="243" spans="3:3" x14ac:dyDescent="0.4">
      <c r="C243" s="113" t="str">
        <f>IF(B243="","",_xlfn.XLOOKUP(B243,お客様CD!$A:$A,お客様CD!$B:$B,"",0))</f>
        <v/>
      </c>
    </row>
    <row r="244" spans="3:3" x14ac:dyDescent="0.4">
      <c r="C244" s="113" t="str">
        <f>IF(B244="","",_xlfn.XLOOKUP(B244,お客様CD!$A:$A,お客様CD!$B:$B,"",0))</f>
        <v/>
      </c>
    </row>
    <row r="245" spans="3:3" x14ac:dyDescent="0.4">
      <c r="C245" s="113" t="str">
        <f>IF(B245="","",_xlfn.XLOOKUP(B245,お客様CD!$A:$A,お客様CD!$B:$B,"",0))</f>
        <v/>
      </c>
    </row>
    <row r="246" spans="3:3" x14ac:dyDescent="0.4">
      <c r="C246" s="113" t="str">
        <f>IF(B246="","",_xlfn.XLOOKUP(B246,お客様CD!$A:$A,お客様CD!$B:$B,"",0))</f>
        <v/>
      </c>
    </row>
    <row r="247" spans="3:3" x14ac:dyDescent="0.4">
      <c r="C247" s="113" t="str">
        <f>IF(B247="","",_xlfn.XLOOKUP(B247,お客様CD!$A:$A,お客様CD!$B:$B,"",0))</f>
        <v/>
      </c>
    </row>
    <row r="248" spans="3:3" x14ac:dyDescent="0.4">
      <c r="C248" s="113" t="str">
        <f>IF(B248="","",_xlfn.XLOOKUP(B248,お客様CD!$A:$A,お客様CD!$B:$B,"",0))</f>
        <v/>
      </c>
    </row>
    <row r="249" spans="3:3" x14ac:dyDescent="0.4">
      <c r="C249" s="113" t="str">
        <f>IF(B249="","",_xlfn.XLOOKUP(B249,お客様CD!$A:$A,お客様CD!$B:$B,"",0))</f>
        <v/>
      </c>
    </row>
    <row r="250" spans="3:3" x14ac:dyDescent="0.4">
      <c r="C250" s="113" t="str">
        <f>IF(B250="","",_xlfn.XLOOKUP(B250,お客様CD!$A:$A,お客様CD!$B:$B,"",0))</f>
        <v/>
      </c>
    </row>
    <row r="251" spans="3:3" x14ac:dyDescent="0.4">
      <c r="C251" s="113" t="str">
        <f>IF(B251="","",_xlfn.XLOOKUP(B251,お客様CD!$A:$A,お客様CD!$B:$B,"",0))</f>
        <v/>
      </c>
    </row>
    <row r="252" spans="3:3" x14ac:dyDescent="0.4">
      <c r="C252" s="113" t="str">
        <f>IF(B252="","",_xlfn.XLOOKUP(B252,お客様CD!$A:$A,お客様CD!$B:$B,"",0))</f>
        <v/>
      </c>
    </row>
    <row r="253" spans="3:3" x14ac:dyDescent="0.4">
      <c r="C253" s="113" t="str">
        <f>IF(B253="","",_xlfn.XLOOKUP(B253,お客様CD!$A:$A,お客様CD!$B:$B,"",0))</f>
        <v/>
      </c>
    </row>
    <row r="254" spans="3:3" x14ac:dyDescent="0.4">
      <c r="C254" s="113" t="str">
        <f>IF(B254="","",_xlfn.XLOOKUP(B254,お客様CD!$A:$A,お客様CD!$B:$B,"",0))</f>
        <v/>
      </c>
    </row>
    <row r="255" spans="3:3" x14ac:dyDescent="0.4">
      <c r="C255" s="113" t="str">
        <f>IF(B255="","",_xlfn.XLOOKUP(B255,お客様CD!$A:$A,お客様CD!$B:$B,"",0))</f>
        <v/>
      </c>
    </row>
    <row r="256" spans="3:3" x14ac:dyDescent="0.4">
      <c r="C256" s="113" t="str">
        <f>IF(B256="","",_xlfn.XLOOKUP(B256,お客様CD!$A:$A,お客様CD!$B:$B,"",0))</f>
        <v/>
      </c>
    </row>
    <row r="257" spans="3:3" x14ac:dyDescent="0.4">
      <c r="C257" s="113" t="str">
        <f>IF(B257="","",_xlfn.XLOOKUP(B257,お客様CD!$A:$A,お客様CD!$B:$B,"",0))</f>
        <v/>
      </c>
    </row>
    <row r="258" spans="3:3" x14ac:dyDescent="0.4">
      <c r="C258" s="113" t="str">
        <f>IF(B258="","",_xlfn.XLOOKUP(B258,お客様CD!$A:$A,お客様CD!$B:$B,"",0))</f>
        <v/>
      </c>
    </row>
    <row r="259" spans="3:3" x14ac:dyDescent="0.4">
      <c r="C259" s="113" t="str">
        <f>IF(B259="","",_xlfn.XLOOKUP(B259,お客様CD!$A:$A,お客様CD!$B:$B,"",0))</f>
        <v/>
      </c>
    </row>
    <row r="260" spans="3:3" x14ac:dyDescent="0.4">
      <c r="C260" s="113" t="str">
        <f>IF(B260="","",_xlfn.XLOOKUP(B260,お客様CD!$A:$A,お客様CD!$B:$B,"",0))</f>
        <v/>
      </c>
    </row>
    <row r="261" spans="3:3" x14ac:dyDescent="0.4">
      <c r="C261" s="113" t="str">
        <f>IF(B261="","",_xlfn.XLOOKUP(B261,お客様CD!$A:$A,お客様CD!$B:$B,"",0))</f>
        <v/>
      </c>
    </row>
    <row r="262" spans="3:3" x14ac:dyDescent="0.4">
      <c r="C262" s="113" t="str">
        <f>IF(B262="","",_xlfn.XLOOKUP(B262,お客様CD!$A:$A,お客様CD!$B:$B,"",0))</f>
        <v/>
      </c>
    </row>
    <row r="263" spans="3:3" x14ac:dyDescent="0.4">
      <c r="C263" s="113" t="str">
        <f>IF(B263="","",_xlfn.XLOOKUP(B263,お客様CD!$A:$A,お客様CD!$B:$B,"",0))</f>
        <v/>
      </c>
    </row>
    <row r="264" spans="3:3" x14ac:dyDescent="0.4">
      <c r="C264" s="113" t="str">
        <f>IF(B264="","",_xlfn.XLOOKUP(B264,お客様CD!$A:$A,お客様CD!$B:$B,"",0))</f>
        <v/>
      </c>
    </row>
    <row r="265" spans="3:3" x14ac:dyDescent="0.4">
      <c r="C265" s="113" t="str">
        <f>IF(B265="","",_xlfn.XLOOKUP(B265,お客様CD!$A:$A,お客様CD!$B:$B,"",0))</f>
        <v/>
      </c>
    </row>
    <row r="266" spans="3:3" x14ac:dyDescent="0.4">
      <c r="C266" s="113" t="str">
        <f>IF(B266="","",_xlfn.XLOOKUP(B266,お客様CD!$A:$A,お客様CD!$B:$B,"",0))</f>
        <v/>
      </c>
    </row>
    <row r="267" spans="3:3" x14ac:dyDescent="0.4">
      <c r="C267" s="113" t="str">
        <f>IF(B267="","",_xlfn.XLOOKUP(B267,お客様CD!$A:$A,お客様CD!$B:$B,"",0))</f>
        <v/>
      </c>
    </row>
    <row r="268" spans="3:3" x14ac:dyDescent="0.4">
      <c r="C268" s="113" t="str">
        <f>IF(B268="","",_xlfn.XLOOKUP(B268,お客様CD!$A:$A,お客様CD!$B:$B,"",0))</f>
        <v/>
      </c>
    </row>
    <row r="269" spans="3:3" x14ac:dyDescent="0.4">
      <c r="C269" s="113" t="str">
        <f>IF(B269="","",_xlfn.XLOOKUP(B269,お客様CD!$A:$A,お客様CD!$B:$B,"",0))</f>
        <v/>
      </c>
    </row>
    <row r="270" spans="3:3" x14ac:dyDescent="0.4">
      <c r="C270" s="113" t="str">
        <f>IF(B270="","",_xlfn.XLOOKUP(B270,お客様CD!$A:$A,お客様CD!$B:$B,"",0))</f>
        <v/>
      </c>
    </row>
    <row r="271" spans="3:3" x14ac:dyDescent="0.4">
      <c r="C271" s="113" t="str">
        <f>IF(B271="","",_xlfn.XLOOKUP(B271,お客様CD!$A:$A,お客様CD!$B:$B,"",0))</f>
        <v/>
      </c>
    </row>
    <row r="272" spans="3:3" x14ac:dyDescent="0.4">
      <c r="C272" s="113" t="str">
        <f>IF(B272="","",_xlfn.XLOOKUP(B272,お客様CD!$A:$A,お客様CD!$B:$B,"",0))</f>
        <v/>
      </c>
    </row>
    <row r="273" spans="3:3" x14ac:dyDescent="0.4">
      <c r="C273" s="113" t="str">
        <f>IF(B273="","",_xlfn.XLOOKUP(B273,お客様CD!$A:$A,お客様CD!$B:$B,"",0))</f>
        <v/>
      </c>
    </row>
    <row r="274" spans="3:3" x14ac:dyDescent="0.4">
      <c r="C274" s="113" t="str">
        <f>IF(B274="","",_xlfn.XLOOKUP(B274,お客様CD!$A:$A,お客様CD!$B:$B,"",0))</f>
        <v/>
      </c>
    </row>
    <row r="275" spans="3:3" x14ac:dyDescent="0.4">
      <c r="C275" s="113" t="str">
        <f>IF(B275="","",_xlfn.XLOOKUP(B275,お客様CD!$A:$A,お客様CD!$B:$B,"",0))</f>
        <v/>
      </c>
    </row>
    <row r="276" spans="3:3" x14ac:dyDescent="0.4">
      <c r="C276" s="113" t="str">
        <f>IF(B276="","",_xlfn.XLOOKUP(B276,お客様CD!$A:$A,お客様CD!$B:$B,"",0))</f>
        <v/>
      </c>
    </row>
    <row r="277" spans="3:3" x14ac:dyDescent="0.4">
      <c r="C277" s="113" t="str">
        <f>IF(B277="","",_xlfn.XLOOKUP(B277,お客様CD!$A:$A,お客様CD!$B:$B,"",0))</f>
        <v/>
      </c>
    </row>
    <row r="278" spans="3:3" x14ac:dyDescent="0.4">
      <c r="C278" s="113" t="str">
        <f>IF(B278="","",_xlfn.XLOOKUP(B278,お客様CD!$A:$A,お客様CD!$B:$B,"",0))</f>
        <v/>
      </c>
    </row>
    <row r="279" spans="3:3" x14ac:dyDescent="0.4">
      <c r="C279" s="113" t="str">
        <f>IF(B279="","",_xlfn.XLOOKUP(B279,お客様CD!$A:$A,お客様CD!$B:$B,"",0))</f>
        <v/>
      </c>
    </row>
    <row r="280" spans="3:3" x14ac:dyDescent="0.4">
      <c r="C280" s="113" t="str">
        <f>IF(B280="","",_xlfn.XLOOKUP(B280,お客様CD!$A:$A,お客様CD!$B:$B,"",0))</f>
        <v/>
      </c>
    </row>
    <row r="281" spans="3:3" x14ac:dyDescent="0.4">
      <c r="C281" s="113" t="str">
        <f>IF(B281="","",_xlfn.XLOOKUP(B281,お客様CD!$A:$A,お客様CD!$B:$B,"",0))</f>
        <v/>
      </c>
    </row>
    <row r="282" spans="3:3" x14ac:dyDescent="0.4">
      <c r="C282" s="113" t="str">
        <f>IF(B282="","",_xlfn.XLOOKUP(B282,お客様CD!$A:$A,お客様CD!$B:$B,"",0))</f>
        <v/>
      </c>
    </row>
    <row r="283" spans="3:3" x14ac:dyDescent="0.4">
      <c r="C283" s="113" t="str">
        <f>IF(B283="","",_xlfn.XLOOKUP(B283,お客様CD!$A:$A,お客様CD!$B:$B,"",0))</f>
        <v/>
      </c>
    </row>
    <row r="284" spans="3:3" x14ac:dyDescent="0.4">
      <c r="C284" s="113" t="str">
        <f>IF(B284="","",_xlfn.XLOOKUP(B284,お客様CD!$A:$A,お客様CD!$B:$B,"",0))</f>
        <v/>
      </c>
    </row>
    <row r="285" spans="3:3" x14ac:dyDescent="0.4">
      <c r="C285" s="113" t="str">
        <f>IF(B285="","",_xlfn.XLOOKUP(B285,お客様CD!$A:$A,お客様CD!$B:$B,"",0))</f>
        <v/>
      </c>
    </row>
    <row r="286" spans="3:3" x14ac:dyDescent="0.4">
      <c r="C286" s="113" t="str">
        <f>IF(B286="","",_xlfn.XLOOKUP(B286,お客様CD!$A:$A,お客様CD!$B:$B,"",0))</f>
        <v/>
      </c>
    </row>
    <row r="287" spans="3:3" x14ac:dyDescent="0.4">
      <c r="C287" s="113" t="str">
        <f>IF(B287="","",_xlfn.XLOOKUP(B287,お客様CD!$A:$A,お客様CD!$B:$B,"",0))</f>
        <v/>
      </c>
    </row>
    <row r="288" spans="3:3" x14ac:dyDescent="0.4">
      <c r="C288" s="113" t="str">
        <f>IF(B288="","",_xlfn.XLOOKUP(B288,お客様CD!$A:$A,お客様CD!$B:$B,"",0))</f>
        <v/>
      </c>
    </row>
    <row r="289" spans="3:3" x14ac:dyDescent="0.4">
      <c r="C289" s="113" t="str">
        <f>IF(B289="","",_xlfn.XLOOKUP(B289,お客様CD!$A:$A,お客様CD!$B:$B,"",0))</f>
        <v/>
      </c>
    </row>
    <row r="290" spans="3:3" x14ac:dyDescent="0.4">
      <c r="C290" s="113" t="str">
        <f>IF(B290="","",_xlfn.XLOOKUP(B290,お客様CD!$A:$A,お客様CD!$B:$B,"",0))</f>
        <v/>
      </c>
    </row>
    <row r="291" spans="3:3" x14ac:dyDescent="0.4">
      <c r="C291" s="113" t="str">
        <f>IF(B291="","",_xlfn.XLOOKUP(B291,お客様CD!$A:$A,お客様CD!$B:$B,"",0))</f>
        <v/>
      </c>
    </row>
    <row r="292" spans="3:3" x14ac:dyDescent="0.4">
      <c r="C292" s="113" t="str">
        <f>IF(B292="","",_xlfn.XLOOKUP(B292,お客様CD!$A:$A,お客様CD!$B:$B,"",0))</f>
        <v/>
      </c>
    </row>
    <row r="293" spans="3:3" x14ac:dyDescent="0.4">
      <c r="C293" s="113" t="str">
        <f>IF(B293="","",_xlfn.XLOOKUP(B293,お客様CD!$A:$A,お客様CD!$B:$B,"",0))</f>
        <v/>
      </c>
    </row>
    <row r="294" spans="3:3" x14ac:dyDescent="0.4">
      <c r="C294" s="113" t="str">
        <f>IF(B294="","",_xlfn.XLOOKUP(B294,お客様CD!$A:$A,お客様CD!$B:$B,"",0))</f>
        <v/>
      </c>
    </row>
    <row r="295" spans="3:3" x14ac:dyDescent="0.4">
      <c r="C295" s="113" t="str">
        <f>IF(B295="","",_xlfn.XLOOKUP(B295,お客様CD!$A:$A,お客様CD!$B:$B,"",0))</f>
        <v/>
      </c>
    </row>
    <row r="296" spans="3:3" x14ac:dyDescent="0.4">
      <c r="C296" s="113" t="str">
        <f>IF(B296="","",_xlfn.XLOOKUP(B296,お客様CD!$A:$A,お客様CD!$B:$B,"",0))</f>
        <v/>
      </c>
    </row>
    <row r="297" spans="3:3" x14ac:dyDescent="0.4">
      <c r="C297" s="113" t="str">
        <f>IF(B297="","",_xlfn.XLOOKUP(B297,お客様CD!$A:$A,お客様CD!$B:$B,"",0))</f>
        <v/>
      </c>
    </row>
    <row r="298" spans="3:3" x14ac:dyDescent="0.4">
      <c r="C298" s="113" t="str">
        <f>IF(B298="","",_xlfn.XLOOKUP(B298,お客様CD!$A:$A,お客様CD!$B:$B,"",0))</f>
        <v/>
      </c>
    </row>
    <row r="299" spans="3:3" x14ac:dyDescent="0.4">
      <c r="C299" s="113" t="str">
        <f>IF(B299="","",_xlfn.XLOOKUP(B299,お客様CD!$A:$A,お客様CD!$B:$B,"",0))</f>
        <v/>
      </c>
    </row>
    <row r="300" spans="3:3" x14ac:dyDescent="0.4">
      <c r="C300" s="113" t="str">
        <f>IF(B300="","",_xlfn.XLOOKUP(B300,お客様CD!$A:$A,お客様CD!$B:$B,"",0))</f>
        <v/>
      </c>
    </row>
    <row r="301" spans="3:3" x14ac:dyDescent="0.4">
      <c r="C301" s="113" t="str">
        <f>IF(B301="","",_xlfn.XLOOKUP(B301,お客様CD!$A:$A,お客様CD!$B:$B,"",0))</f>
        <v/>
      </c>
    </row>
    <row r="302" spans="3:3" x14ac:dyDescent="0.4">
      <c r="C302" s="113" t="str">
        <f>IF(B302="","",_xlfn.XLOOKUP(B302,お客様CD!$A:$A,お客様CD!$B:$B,"",0))</f>
        <v/>
      </c>
    </row>
    <row r="303" spans="3:3" x14ac:dyDescent="0.4">
      <c r="C303" s="113" t="str">
        <f>IF(B303="","",_xlfn.XLOOKUP(B303,お客様CD!$A:$A,お客様CD!$B:$B,"",0))</f>
        <v/>
      </c>
    </row>
    <row r="304" spans="3:3" x14ac:dyDescent="0.4">
      <c r="C304" s="113" t="str">
        <f>IF(B304="","",_xlfn.XLOOKUP(B304,お客様CD!$A:$A,お客様CD!$B:$B,"",0))</f>
        <v/>
      </c>
    </row>
    <row r="305" spans="3:3" x14ac:dyDescent="0.4">
      <c r="C305" s="113" t="str">
        <f>IF(B305="","",_xlfn.XLOOKUP(B305,お客様CD!$A:$A,お客様CD!$B:$B,"",0))</f>
        <v/>
      </c>
    </row>
    <row r="306" spans="3:3" x14ac:dyDescent="0.4">
      <c r="C306" s="113" t="str">
        <f>IF(B306="","",_xlfn.XLOOKUP(B306,お客様CD!$A:$A,お客様CD!$B:$B,"",0))</f>
        <v/>
      </c>
    </row>
    <row r="307" spans="3:3" x14ac:dyDescent="0.4">
      <c r="C307" s="113" t="str">
        <f>IF(B307="","",_xlfn.XLOOKUP(B307,お客様CD!$A:$A,お客様CD!$B:$B,"",0))</f>
        <v/>
      </c>
    </row>
    <row r="308" spans="3:3" x14ac:dyDescent="0.4">
      <c r="C308" s="113" t="str">
        <f>IF(B308="","",_xlfn.XLOOKUP(B308,お客様CD!$A:$A,お客様CD!$B:$B,"",0))</f>
        <v/>
      </c>
    </row>
    <row r="309" spans="3:3" x14ac:dyDescent="0.4">
      <c r="C309" s="113" t="str">
        <f>IF(B309="","",_xlfn.XLOOKUP(B309,お客様CD!$A:$A,お客様CD!$B:$B,"",0))</f>
        <v/>
      </c>
    </row>
    <row r="310" spans="3:3" x14ac:dyDescent="0.4">
      <c r="C310" s="113" t="str">
        <f>IF(B310="","",_xlfn.XLOOKUP(B310,お客様CD!$A:$A,お客様CD!$B:$B,"",0))</f>
        <v/>
      </c>
    </row>
    <row r="311" spans="3:3" x14ac:dyDescent="0.4">
      <c r="C311" s="113" t="str">
        <f>IF(B311="","",_xlfn.XLOOKUP(B311,お客様CD!$A:$A,お客様CD!$B:$B,"",0))</f>
        <v/>
      </c>
    </row>
    <row r="312" spans="3:3" x14ac:dyDescent="0.4">
      <c r="C312" s="113" t="str">
        <f>IF(B312="","",_xlfn.XLOOKUP(B312,お客様CD!$A:$A,お客様CD!$B:$B,"",0))</f>
        <v/>
      </c>
    </row>
    <row r="313" spans="3:3" x14ac:dyDescent="0.4">
      <c r="C313" s="113" t="str">
        <f>IF(B313="","",_xlfn.XLOOKUP(B313,お客様CD!$A:$A,お客様CD!$B:$B,"",0))</f>
        <v/>
      </c>
    </row>
    <row r="314" spans="3:3" x14ac:dyDescent="0.4">
      <c r="C314" s="113" t="str">
        <f>IF(B314="","",_xlfn.XLOOKUP(B314,お客様CD!$A:$A,お客様CD!$B:$B,"",0))</f>
        <v/>
      </c>
    </row>
    <row r="315" spans="3:3" x14ac:dyDescent="0.4">
      <c r="C315" s="113" t="str">
        <f>IF(B315="","",_xlfn.XLOOKUP(B315,お客様CD!$A:$A,お客様CD!$B:$B,"",0))</f>
        <v/>
      </c>
    </row>
    <row r="316" spans="3:3" x14ac:dyDescent="0.4">
      <c r="C316" s="113" t="str">
        <f>IF(B316="","",_xlfn.XLOOKUP(B316,お客様CD!$A:$A,お客様CD!$B:$B,"",0))</f>
        <v/>
      </c>
    </row>
    <row r="317" spans="3:3" x14ac:dyDescent="0.4">
      <c r="C317" s="113" t="str">
        <f>IF(B317="","",_xlfn.XLOOKUP(B317,お客様CD!$A:$A,お客様CD!$B:$B,"",0))</f>
        <v/>
      </c>
    </row>
    <row r="318" spans="3:3" x14ac:dyDescent="0.4">
      <c r="C318" s="113" t="str">
        <f>IF(B318="","",_xlfn.XLOOKUP(B318,お客様CD!$A:$A,お客様CD!$B:$B,"",0))</f>
        <v/>
      </c>
    </row>
    <row r="319" spans="3:3" x14ac:dyDescent="0.4">
      <c r="C319" s="113" t="str">
        <f>IF(B319="","",_xlfn.XLOOKUP(B319,お客様CD!$A:$A,お客様CD!$B:$B,"",0))</f>
        <v/>
      </c>
    </row>
    <row r="320" spans="3:3" x14ac:dyDescent="0.4">
      <c r="C320" s="113" t="str">
        <f>IF(B320="","",_xlfn.XLOOKUP(B320,お客様CD!$A:$A,お客様CD!$B:$B,"",0))</f>
        <v/>
      </c>
    </row>
    <row r="321" spans="3:3" x14ac:dyDescent="0.4">
      <c r="C321" s="113" t="str">
        <f>IF(B321="","",_xlfn.XLOOKUP(B321,お客様CD!$A:$A,お客様CD!$B:$B,"",0))</f>
        <v/>
      </c>
    </row>
    <row r="322" spans="3:3" x14ac:dyDescent="0.4">
      <c r="C322" s="113" t="str">
        <f>IF(B322="","",_xlfn.XLOOKUP(B322,お客様CD!$A:$A,お客様CD!$B:$B,"",0))</f>
        <v/>
      </c>
    </row>
    <row r="323" spans="3:3" x14ac:dyDescent="0.4">
      <c r="C323" s="113" t="str">
        <f>IF(B323="","",_xlfn.XLOOKUP(B323,お客様CD!$A:$A,お客様CD!$B:$B,"",0))</f>
        <v/>
      </c>
    </row>
    <row r="324" spans="3:3" x14ac:dyDescent="0.4">
      <c r="C324" s="113" t="str">
        <f>IF(B324="","",_xlfn.XLOOKUP(B324,お客様CD!$A:$A,お客様CD!$B:$B,"",0))</f>
        <v/>
      </c>
    </row>
    <row r="325" spans="3:3" x14ac:dyDescent="0.4">
      <c r="C325" s="113" t="str">
        <f>IF(B325="","",_xlfn.XLOOKUP(B325,お客様CD!$A:$A,お客様CD!$B:$B,"",0))</f>
        <v/>
      </c>
    </row>
    <row r="326" spans="3:3" x14ac:dyDescent="0.4">
      <c r="C326" s="113" t="str">
        <f>IF(B326="","",_xlfn.XLOOKUP(B326,お客様CD!$A:$A,お客様CD!$B:$B,"",0))</f>
        <v/>
      </c>
    </row>
    <row r="327" spans="3:3" x14ac:dyDescent="0.4">
      <c r="C327" s="113" t="str">
        <f>IF(B327="","",_xlfn.XLOOKUP(B327,お客様CD!$A:$A,お客様CD!$B:$B,"",0))</f>
        <v/>
      </c>
    </row>
    <row r="328" spans="3:3" x14ac:dyDescent="0.4">
      <c r="C328" s="113" t="str">
        <f>IF(B328="","",_xlfn.XLOOKUP(B328,お客様CD!$A:$A,お客様CD!$B:$B,"",0))</f>
        <v/>
      </c>
    </row>
    <row r="329" spans="3:3" x14ac:dyDescent="0.4">
      <c r="C329" s="113" t="str">
        <f>IF(B329="","",_xlfn.XLOOKUP(B329,お客様CD!$A:$A,お客様CD!$B:$B,"",0))</f>
        <v/>
      </c>
    </row>
    <row r="330" spans="3:3" x14ac:dyDescent="0.4">
      <c r="C330" s="113" t="str">
        <f>IF(B330="","",_xlfn.XLOOKUP(B330,お客様CD!$A:$A,お客様CD!$B:$B,"",0))</f>
        <v/>
      </c>
    </row>
    <row r="331" spans="3:3" x14ac:dyDescent="0.4">
      <c r="C331" s="113" t="str">
        <f>IF(B331="","",_xlfn.XLOOKUP(B331,お客様CD!$A:$A,お客様CD!$B:$B,"",0))</f>
        <v/>
      </c>
    </row>
    <row r="332" spans="3:3" x14ac:dyDescent="0.4">
      <c r="C332" s="113" t="str">
        <f>IF(B332="","",_xlfn.XLOOKUP(B332,お客様CD!$A:$A,お客様CD!$B:$B,"",0))</f>
        <v/>
      </c>
    </row>
    <row r="333" spans="3:3" x14ac:dyDescent="0.4">
      <c r="C333" s="113" t="str">
        <f>IF(B333="","",_xlfn.XLOOKUP(B333,お客様CD!$A:$A,お客様CD!$B:$B,"",0))</f>
        <v/>
      </c>
    </row>
    <row r="334" spans="3:3" x14ac:dyDescent="0.4">
      <c r="C334" s="113" t="str">
        <f>IF(B334="","",_xlfn.XLOOKUP(B334,お客様CD!$A:$A,お客様CD!$B:$B,"",0))</f>
        <v/>
      </c>
    </row>
    <row r="335" spans="3:3" x14ac:dyDescent="0.4">
      <c r="C335" s="113" t="str">
        <f>IF(B335="","",_xlfn.XLOOKUP(B335,お客様CD!$A:$A,お客様CD!$B:$B,"",0))</f>
        <v/>
      </c>
    </row>
    <row r="336" spans="3:3" x14ac:dyDescent="0.4">
      <c r="C336" s="113" t="str">
        <f>IF(B336="","",_xlfn.XLOOKUP(B336,お客様CD!$A:$A,お客様CD!$B:$B,"",0))</f>
        <v/>
      </c>
    </row>
    <row r="337" spans="3:3" x14ac:dyDescent="0.4">
      <c r="C337" s="113" t="str">
        <f>IF(B337="","",_xlfn.XLOOKUP(B337,お客様CD!$A:$A,お客様CD!$B:$B,"",0))</f>
        <v/>
      </c>
    </row>
    <row r="338" spans="3:3" x14ac:dyDescent="0.4">
      <c r="C338" s="113" t="str">
        <f>IF(B338="","",_xlfn.XLOOKUP(B338,お客様CD!$A:$A,お客様CD!$B:$B,"",0))</f>
        <v/>
      </c>
    </row>
    <row r="339" spans="3:3" x14ac:dyDescent="0.4">
      <c r="C339" s="113" t="str">
        <f>IF(B339="","",_xlfn.XLOOKUP(B339,お客様CD!$A:$A,お客様CD!$B:$B,"",0))</f>
        <v/>
      </c>
    </row>
    <row r="340" spans="3:3" x14ac:dyDescent="0.4">
      <c r="C340" s="113" t="str">
        <f>IF(B340="","",_xlfn.XLOOKUP(B340,お客様CD!$A:$A,お客様CD!$B:$B,"",0))</f>
        <v/>
      </c>
    </row>
    <row r="341" spans="3:3" x14ac:dyDescent="0.4">
      <c r="C341" s="113" t="str">
        <f>IF(B341="","",_xlfn.XLOOKUP(B341,お客様CD!$A:$A,お客様CD!$B:$B,"",0))</f>
        <v/>
      </c>
    </row>
    <row r="342" spans="3:3" x14ac:dyDescent="0.4">
      <c r="C342" s="113" t="str">
        <f>IF(B342="","",_xlfn.XLOOKUP(B342,お客様CD!$A:$A,お客様CD!$B:$B,"",0))</f>
        <v/>
      </c>
    </row>
    <row r="343" spans="3:3" x14ac:dyDescent="0.4">
      <c r="C343" s="113" t="str">
        <f>IF(B343="","",_xlfn.XLOOKUP(B343,お客様CD!$A:$A,お客様CD!$B:$B,"",0))</f>
        <v/>
      </c>
    </row>
    <row r="344" spans="3:3" x14ac:dyDescent="0.4">
      <c r="C344" s="113" t="str">
        <f>IF(B344="","",_xlfn.XLOOKUP(B344,お客様CD!$A:$A,お客様CD!$B:$B,"",0))</f>
        <v/>
      </c>
    </row>
    <row r="345" spans="3:3" x14ac:dyDescent="0.4">
      <c r="C345" s="113" t="str">
        <f>IF(B345="","",_xlfn.XLOOKUP(B345,お客様CD!$A:$A,お客様CD!$B:$B,"",0))</f>
        <v/>
      </c>
    </row>
    <row r="346" spans="3:3" x14ac:dyDescent="0.4">
      <c r="C346" s="113" t="str">
        <f>IF(B346="","",_xlfn.XLOOKUP(B346,お客様CD!$A:$A,お客様CD!$B:$B,"",0))</f>
        <v/>
      </c>
    </row>
    <row r="347" spans="3:3" x14ac:dyDescent="0.4">
      <c r="C347" s="113" t="str">
        <f>IF(B347="","",_xlfn.XLOOKUP(B347,お客様CD!$A:$A,お客様CD!$B:$B,"",0))</f>
        <v/>
      </c>
    </row>
    <row r="348" spans="3:3" x14ac:dyDescent="0.4">
      <c r="C348" s="113" t="str">
        <f>IF(B348="","",_xlfn.XLOOKUP(B348,お客様CD!$A:$A,お客様CD!$B:$B,"",0))</f>
        <v/>
      </c>
    </row>
    <row r="349" spans="3:3" x14ac:dyDescent="0.4">
      <c r="C349" s="113" t="str">
        <f>IF(B349="","",_xlfn.XLOOKUP(B349,お客様CD!$A:$A,お客様CD!$B:$B,"",0))</f>
        <v/>
      </c>
    </row>
    <row r="350" spans="3:3" x14ac:dyDescent="0.4">
      <c r="C350" s="113" t="str">
        <f>IF(B350="","",_xlfn.XLOOKUP(B350,お客様CD!$A:$A,お客様CD!$B:$B,"",0))</f>
        <v/>
      </c>
    </row>
    <row r="351" spans="3:3" x14ac:dyDescent="0.4">
      <c r="C351" s="113" t="str">
        <f>IF(B351="","",_xlfn.XLOOKUP(B351,お客様CD!$A:$A,お客様CD!$B:$B,"",0))</f>
        <v/>
      </c>
    </row>
    <row r="352" spans="3:3" x14ac:dyDescent="0.4">
      <c r="C352" s="113" t="str">
        <f>IF(B352="","",_xlfn.XLOOKUP(B352,お客様CD!$A:$A,お客様CD!$B:$B,"",0))</f>
        <v/>
      </c>
    </row>
    <row r="353" spans="3:3" x14ac:dyDescent="0.4">
      <c r="C353" s="113" t="str">
        <f>IF(B353="","",_xlfn.XLOOKUP(B353,お客様CD!$A:$A,お客様CD!$B:$B,"",0))</f>
        <v/>
      </c>
    </row>
    <row r="354" spans="3:3" x14ac:dyDescent="0.4">
      <c r="C354" s="113" t="str">
        <f>IF(B354="","",_xlfn.XLOOKUP(B354,お客様CD!$A:$A,お客様CD!$B:$B,"",0))</f>
        <v/>
      </c>
    </row>
    <row r="355" spans="3:3" x14ac:dyDescent="0.4">
      <c r="C355" s="113" t="str">
        <f>IF(B355="","",_xlfn.XLOOKUP(B355,お客様CD!$A:$A,お客様CD!$B:$B,"",0))</f>
        <v/>
      </c>
    </row>
    <row r="356" spans="3:3" x14ac:dyDescent="0.4">
      <c r="C356" s="113" t="str">
        <f>IF(B356="","",_xlfn.XLOOKUP(B356,お客様CD!$A:$A,お客様CD!$B:$B,"",0))</f>
        <v/>
      </c>
    </row>
    <row r="357" spans="3:3" x14ac:dyDescent="0.4">
      <c r="C357" s="113" t="str">
        <f>IF(B357="","",_xlfn.XLOOKUP(B357,お客様CD!$A:$A,お客様CD!$B:$B,"",0))</f>
        <v/>
      </c>
    </row>
    <row r="358" spans="3:3" x14ac:dyDescent="0.4">
      <c r="C358" s="113" t="str">
        <f>IF(B358="","",_xlfn.XLOOKUP(B358,お客様CD!$A:$A,お客様CD!$B:$B,"",0))</f>
        <v/>
      </c>
    </row>
    <row r="359" spans="3:3" x14ac:dyDescent="0.4">
      <c r="C359" s="113" t="str">
        <f>IF(B359="","",_xlfn.XLOOKUP(B359,お客様CD!$A:$A,お客様CD!$B:$B,"",0))</f>
        <v/>
      </c>
    </row>
    <row r="360" spans="3:3" x14ac:dyDescent="0.4">
      <c r="C360" s="113" t="str">
        <f>IF(B360="","",_xlfn.XLOOKUP(B360,お客様CD!$A:$A,お客様CD!$B:$B,"",0))</f>
        <v/>
      </c>
    </row>
    <row r="361" spans="3:3" x14ac:dyDescent="0.4">
      <c r="C361" s="113" t="str">
        <f>IF(B361="","",_xlfn.XLOOKUP(B361,お客様CD!$A:$A,お客様CD!$B:$B,"",0))</f>
        <v/>
      </c>
    </row>
    <row r="362" spans="3:3" x14ac:dyDescent="0.4">
      <c r="C362" s="113" t="str">
        <f>IF(B362="","",_xlfn.XLOOKUP(B362,お客様CD!$A:$A,お客様CD!$B:$B,"",0))</f>
        <v/>
      </c>
    </row>
    <row r="363" spans="3:3" x14ac:dyDescent="0.4">
      <c r="C363" s="113" t="str">
        <f>IF(B363="","",_xlfn.XLOOKUP(B363,お客様CD!$A:$A,お客様CD!$B:$B,"",0))</f>
        <v/>
      </c>
    </row>
    <row r="364" spans="3:3" x14ac:dyDescent="0.4">
      <c r="C364" s="113" t="str">
        <f>IF(B364="","",_xlfn.XLOOKUP(B364,お客様CD!$A:$A,お客様CD!$B:$B,"",0))</f>
        <v/>
      </c>
    </row>
    <row r="365" spans="3:3" x14ac:dyDescent="0.4">
      <c r="C365" s="113" t="str">
        <f>IF(B365="","",_xlfn.XLOOKUP(B365,お客様CD!$A:$A,お客様CD!$B:$B,"",0))</f>
        <v/>
      </c>
    </row>
    <row r="366" spans="3:3" x14ac:dyDescent="0.4">
      <c r="C366" s="113" t="str">
        <f>IF(B366="","",_xlfn.XLOOKUP(B366,お客様CD!$A:$A,お客様CD!$B:$B,"",0))</f>
        <v/>
      </c>
    </row>
    <row r="367" spans="3:3" x14ac:dyDescent="0.4">
      <c r="C367" s="113" t="str">
        <f>IF(B367="","",_xlfn.XLOOKUP(B367,お客様CD!$A:$A,お客様CD!$B:$B,"",0))</f>
        <v/>
      </c>
    </row>
    <row r="368" spans="3:3" x14ac:dyDescent="0.4">
      <c r="C368" s="113" t="str">
        <f>IF(B368="","",_xlfn.XLOOKUP(B368,お客様CD!$A:$A,お客様CD!$B:$B,"",0))</f>
        <v/>
      </c>
    </row>
    <row r="369" spans="3:3" x14ac:dyDescent="0.4">
      <c r="C369" s="113" t="str">
        <f>IF(B369="","",_xlfn.XLOOKUP(B369,お客様CD!$A:$A,お客様CD!$B:$B,"",0))</f>
        <v/>
      </c>
    </row>
    <row r="370" spans="3:3" x14ac:dyDescent="0.4">
      <c r="C370" s="113" t="str">
        <f>IF(B370="","",_xlfn.XLOOKUP(B370,お客様CD!$A:$A,お客様CD!$B:$B,"",0))</f>
        <v/>
      </c>
    </row>
    <row r="371" spans="3:3" x14ac:dyDescent="0.4">
      <c r="C371" s="113" t="str">
        <f>IF(B371="","",_xlfn.XLOOKUP(B371,お客様CD!$A:$A,お客様CD!$B:$B,"",0))</f>
        <v/>
      </c>
    </row>
    <row r="372" spans="3:3" x14ac:dyDescent="0.4">
      <c r="C372" s="113" t="str">
        <f>IF(B372="","",_xlfn.XLOOKUP(B372,お客様CD!$A:$A,お客様CD!$B:$B,"",0))</f>
        <v/>
      </c>
    </row>
    <row r="373" spans="3:3" x14ac:dyDescent="0.4">
      <c r="C373" s="113" t="str">
        <f>IF(B373="","",_xlfn.XLOOKUP(B373,お客様CD!$A:$A,お客様CD!$B:$B,"",0))</f>
        <v/>
      </c>
    </row>
    <row r="374" spans="3:3" x14ac:dyDescent="0.4">
      <c r="C374" s="113" t="str">
        <f>IF(B374="","",_xlfn.XLOOKUP(B374,お客様CD!$A:$A,お客様CD!$B:$B,"",0))</f>
        <v/>
      </c>
    </row>
    <row r="375" spans="3:3" x14ac:dyDescent="0.4">
      <c r="C375" s="113" t="str">
        <f>IF(B375="","",_xlfn.XLOOKUP(B375,お客様CD!$A:$A,お客様CD!$B:$B,"",0))</f>
        <v/>
      </c>
    </row>
    <row r="376" spans="3:3" x14ac:dyDescent="0.4">
      <c r="C376" s="113" t="str">
        <f>IF(B376="","",_xlfn.XLOOKUP(B376,お客様CD!$A:$A,お客様CD!$B:$B,"",0))</f>
        <v/>
      </c>
    </row>
    <row r="377" spans="3:3" x14ac:dyDescent="0.4">
      <c r="C377" s="113" t="str">
        <f>IF(B377="","",_xlfn.XLOOKUP(B377,お客様CD!$A:$A,お客様CD!$B:$B,"",0))</f>
        <v/>
      </c>
    </row>
    <row r="378" spans="3:3" x14ac:dyDescent="0.4">
      <c r="C378" s="113" t="str">
        <f>IF(B378="","",_xlfn.XLOOKUP(B378,お客様CD!$A:$A,お客様CD!$B:$B,"",0))</f>
        <v/>
      </c>
    </row>
    <row r="379" spans="3:3" x14ac:dyDescent="0.4">
      <c r="C379" s="113" t="str">
        <f>IF(B379="","",_xlfn.XLOOKUP(B379,お客様CD!$A:$A,お客様CD!$B:$B,"",0))</f>
        <v/>
      </c>
    </row>
    <row r="380" spans="3:3" x14ac:dyDescent="0.4">
      <c r="C380" s="113" t="str">
        <f>IF(B380="","",_xlfn.XLOOKUP(B380,お客様CD!$A:$A,お客様CD!$B:$B,"",0))</f>
        <v/>
      </c>
    </row>
    <row r="381" spans="3:3" x14ac:dyDescent="0.4">
      <c r="C381" s="113" t="str">
        <f>IF(B381="","",_xlfn.XLOOKUP(B381,お客様CD!$A:$A,お客様CD!$B:$B,"",0))</f>
        <v/>
      </c>
    </row>
    <row r="382" spans="3:3" x14ac:dyDescent="0.4">
      <c r="C382" s="113" t="str">
        <f>IF(B382="","",_xlfn.XLOOKUP(B382,お客様CD!$A:$A,お客様CD!$B:$B,"",0))</f>
        <v/>
      </c>
    </row>
    <row r="383" spans="3:3" x14ac:dyDescent="0.4">
      <c r="C383" s="113" t="str">
        <f>IF(B383="","",_xlfn.XLOOKUP(B383,お客様CD!$A:$A,お客様CD!$B:$B,"",0))</f>
        <v/>
      </c>
    </row>
    <row r="384" spans="3:3" x14ac:dyDescent="0.4">
      <c r="C384" s="113" t="str">
        <f>IF(B384="","",_xlfn.XLOOKUP(B384,お客様CD!$A:$A,お客様CD!$B:$B,"",0))</f>
        <v/>
      </c>
    </row>
    <row r="385" spans="3:3" x14ac:dyDescent="0.4">
      <c r="C385" s="113" t="str">
        <f>IF(B385="","",_xlfn.XLOOKUP(B385,お客様CD!$A:$A,お客様CD!$B:$B,"",0))</f>
        <v/>
      </c>
    </row>
    <row r="386" spans="3:3" x14ac:dyDescent="0.4">
      <c r="C386" s="113" t="str">
        <f>IF(B386="","",_xlfn.XLOOKUP(B386,お客様CD!$A:$A,お客様CD!$B:$B,"",0))</f>
        <v/>
      </c>
    </row>
    <row r="387" spans="3:3" x14ac:dyDescent="0.4">
      <c r="C387" s="113" t="str">
        <f>IF(B387="","",_xlfn.XLOOKUP(B387,お客様CD!$A:$A,お客様CD!$B:$B,"",0))</f>
        <v/>
      </c>
    </row>
    <row r="388" spans="3:3" x14ac:dyDescent="0.4">
      <c r="C388" s="113" t="str">
        <f>IF(B388="","",_xlfn.XLOOKUP(B388,お客様CD!$A:$A,お客様CD!$B:$B,"",0))</f>
        <v/>
      </c>
    </row>
    <row r="389" spans="3:3" x14ac:dyDescent="0.4">
      <c r="C389" s="113" t="str">
        <f>IF(B389="","",_xlfn.XLOOKUP(B389,お客様CD!$A:$A,お客様CD!$B:$B,"",0))</f>
        <v/>
      </c>
    </row>
    <row r="390" spans="3:3" x14ac:dyDescent="0.4">
      <c r="C390" s="113" t="str">
        <f>IF(B390="","",_xlfn.XLOOKUP(B390,お客様CD!$A:$A,お客様CD!$B:$B,"",0))</f>
        <v/>
      </c>
    </row>
    <row r="391" spans="3:3" x14ac:dyDescent="0.4">
      <c r="C391" s="113" t="str">
        <f>IF(B391="","",_xlfn.XLOOKUP(B391,お客様CD!$A:$A,お客様CD!$B:$B,"",0))</f>
        <v/>
      </c>
    </row>
    <row r="392" spans="3:3" x14ac:dyDescent="0.4">
      <c r="C392" s="113" t="str">
        <f>IF(B392="","",_xlfn.XLOOKUP(B392,お客様CD!$A:$A,お客様CD!$B:$B,"",0))</f>
        <v/>
      </c>
    </row>
    <row r="393" spans="3:3" x14ac:dyDescent="0.4">
      <c r="C393" s="113" t="str">
        <f>IF(B393="","",_xlfn.XLOOKUP(B393,お客様CD!$A:$A,お客様CD!$B:$B,"",0))</f>
        <v/>
      </c>
    </row>
    <row r="394" spans="3:3" x14ac:dyDescent="0.4">
      <c r="C394" s="113" t="str">
        <f>IF(B394="","",_xlfn.XLOOKUP(B394,お客様CD!$A:$A,お客様CD!$B:$B,"",0))</f>
        <v/>
      </c>
    </row>
    <row r="395" spans="3:3" x14ac:dyDescent="0.4">
      <c r="C395" s="113" t="str">
        <f>IF(B395="","",_xlfn.XLOOKUP(B395,お客様CD!$A:$A,お客様CD!$B:$B,"",0))</f>
        <v/>
      </c>
    </row>
    <row r="396" spans="3:3" x14ac:dyDescent="0.4">
      <c r="C396" s="113" t="str">
        <f>IF(B396="","",_xlfn.XLOOKUP(B396,お客様CD!$A:$A,お客様CD!$B:$B,"",0))</f>
        <v/>
      </c>
    </row>
    <row r="397" spans="3:3" x14ac:dyDescent="0.4">
      <c r="C397" s="113" t="str">
        <f>IF(B397="","",_xlfn.XLOOKUP(B397,お客様CD!$A:$A,お客様CD!$B:$B,"",0))</f>
        <v/>
      </c>
    </row>
    <row r="398" spans="3:3" x14ac:dyDescent="0.4">
      <c r="C398" s="113" t="str">
        <f>IF(B398="","",_xlfn.XLOOKUP(B398,お客様CD!$A:$A,お客様CD!$B:$B,"",0))</f>
        <v/>
      </c>
    </row>
    <row r="399" spans="3:3" x14ac:dyDescent="0.4">
      <c r="C399" s="113" t="str">
        <f>IF(B399="","",_xlfn.XLOOKUP(B399,お客様CD!$A:$A,お客様CD!$B:$B,"",0))</f>
        <v/>
      </c>
    </row>
    <row r="400" spans="3:3" x14ac:dyDescent="0.4">
      <c r="C400" s="113" t="str">
        <f>IF(B400="","",_xlfn.XLOOKUP(B400,お客様CD!$A:$A,お客様CD!$B:$B,"",0))</f>
        <v/>
      </c>
    </row>
    <row r="401" spans="3:3" x14ac:dyDescent="0.4">
      <c r="C401" s="113" t="str">
        <f>IF(B401="","",_xlfn.XLOOKUP(B401,お客様CD!$A:$A,お客様CD!$B:$B,"",0))</f>
        <v/>
      </c>
    </row>
    <row r="402" spans="3:3" x14ac:dyDescent="0.4">
      <c r="C402" s="113" t="str">
        <f>IF(B402="","",_xlfn.XLOOKUP(B402,お客様CD!$A:$A,お客様CD!$B:$B,"",0))</f>
        <v/>
      </c>
    </row>
    <row r="403" spans="3:3" x14ac:dyDescent="0.4">
      <c r="C403" s="113" t="str">
        <f>IF(B403="","",_xlfn.XLOOKUP(B403,お客様CD!$A:$A,お客様CD!$B:$B,"",0))</f>
        <v/>
      </c>
    </row>
    <row r="404" spans="3:3" x14ac:dyDescent="0.4">
      <c r="C404" s="113" t="str">
        <f>IF(B404="","",_xlfn.XLOOKUP(B404,お客様CD!$A:$A,お客様CD!$B:$B,"",0))</f>
        <v/>
      </c>
    </row>
    <row r="405" spans="3:3" x14ac:dyDescent="0.4">
      <c r="C405" s="113" t="str">
        <f>IF(B405="","",_xlfn.XLOOKUP(B405,お客様CD!$A:$A,お客様CD!$B:$B,"",0))</f>
        <v/>
      </c>
    </row>
    <row r="406" spans="3:3" x14ac:dyDescent="0.4">
      <c r="C406" s="113" t="str">
        <f>IF(B406="","",_xlfn.XLOOKUP(B406,お客様CD!$A:$A,お客様CD!$B:$B,"",0))</f>
        <v/>
      </c>
    </row>
    <row r="407" spans="3:3" x14ac:dyDescent="0.4">
      <c r="C407" s="113" t="str">
        <f>IF(B407="","",_xlfn.XLOOKUP(B407,お客様CD!$A:$A,お客様CD!$B:$B,"",0))</f>
        <v/>
      </c>
    </row>
    <row r="408" spans="3:3" x14ac:dyDescent="0.4">
      <c r="C408" s="113" t="str">
        <f>IF(B408="","",_xlfn.XLOOKUP(B408,お客様CD!$A:$A,お客様CD!$B:$B,"",0))</f>
        <v/>
      </c>
    </row>
    <row r="409" spans="3:3" x14ac:dyDescent="0.4">
      <c r="C409" s="113" t="str">
        <f>IF(B409="","",_xlfn.XLOOKUP(B409,お客様CD!$A:$A,お客様CD!$B:$B,"",0))</f>
        <v/>
      </c>
    </row>
    <row r="410" spans="3:3" x14ac:dyDescent="0.4">
      <c r="C410" s="113" t="str">
        <f>IF(B410="","",_xlfn.XLOOKUP(B410,お客様CD!$A:$A,お客様CD!$B:$B,"",0))</f>
        <v/>
      </c>
    </row>
    <row r="411" spans="3:3" x14ac:dyDescent="0.4">
      <c r="C411" s="113" t="str">
        <f>IF(B411="","",_xlfn.XLOOKUP(B411,お客様CD!$A:$A,お客様CD!$B:$B,"",0))</f>
        <v/>
      </c>
    </row>
    <row r="412" spans="3:3" x14ac:dyDescent="0.4">
      <c r="C412" s="113" t="str">
        <f>IF(B412="","",_xlfn.XLOOKUP(B412,お客様CD!$A:$A,お客様CD!$B:$B,"",0))</f>
        <v/>
      </c>
    </row>
    <row r="413" spans="3:3" x14ac:dyDescent="0.4">
      <c r="C413" s="113" t="str">
        <f>IF(B413="","",_xlfn.XLOOKUP(B413,お客様CD!$A:$A,お客様CD!$B:$B,"",0))</f>
        <v/>
      </c>
    </row>
    <row r="414" spans="3:3" x14ac:dyDescent="0.4">
      <c r="C414" s="113" t="str">
        <f>IF(B414="","",_xlfn.XLOOKUP(B414,お客様CD!$A:$A,お客様CD!$B:$B,"",0))</f>
        <v/>
      </c>
    </row>
    <row r="415" spans="3:3" x14ac:dyDescent="0.4">
      <c r="C415" s="113" t="str">
        <f>IF(B415="","",_xlfn.XLOOKUP(B415,お客様CD!$A:$A,お客様CD!$B:$B,"",0))</f>
        <v/>
      </c>
    </row>
    <row r="416" spans="3:3" x14ac:dyDescent="0.4">
      <c r="C416" s="113" t="str">
        <f>IF(B416="","",_xlfn.XLOOKUP(B416,お客様CD!$A:$A,お客様CD!$B:$B,"",0))</f>
        <v/>
      </c>
    </row>
    <row r="417" spans="3:3" x14ac:dyDescent="0.4">
      <c r="C417" s="113" t="str">
        <f>IF(B417="","",_xlfn.XLOOKUP(B417,お客様CD!$A:$A,お客様CD!$B:$B,"",0))</f>
        <v/>
      </c>
    </row>
    <row r="418" spans="3:3" x14ac:dyDescent="0.4">
      <c r="C418" s="113" t="str">
        <f>IF(B418="","",_xlfn.XLOOKUP(B418,お客様CD!$A:$A,お客様CD!$B:$B,"",0))</f>
        <v/>
      </c>
    </row>
    <row r="419" spans="3:3" x14ac:dyDescent="0.4">
      <c r="C419" s="113" t="str">
        <f>IF(B419="","",_xlfn.XLOOKUP(B419,お客様CD!$A:$A,お客様CD!$B:$B,"",0))</f>
        <v/>
      </c>
    </row>
    <row r="420" spans="3:3" x14ac:dyDescent="0.4">
      <c r="C420" s="113" t="str">
        <f>IF(B420="","",_xlfn.XLOOKUP(B420,お客様CD!$A:$A,お客様CD!$B:$B,"",0))</f>
        <v/>
      </c>
    </row>
    <row r="421" spans="3:3" x14ac:dyDescent="0.4">
      <c r="C421" s="113" t="str">
        <f>IF(B421="","",_xlfn.XLOOKUP(B421,お客様CD!$A:$A,お客様CD!$B:$B,"",0))</f>
        <v/>
      </c>
    </row>
    <row r="422" spans="3:3" x14ac:dyDescent="0.4">
      <c r="C422" s="113" t="str">
        <f>IF(B422="","",_xlfn.XLOOKUP(B422,お客様CD!$A:$A,お客様CD!$B:$B,"",0))</f>
        <v/>
      </c>
    </row>
    <row r="423" spans="3:3" x14ac:dyDescent="0.4">
      <c r="C423" s="113" t="str">
        <f>IF(B423="","",_xlfn.XLOOKUP(B423,お客様CD!$A:$A,お客様CD!$B:$B,"",0))</f>
        <v/>
      </c>
    </row>
    <row r="424" spans="3:3" x14ac:dyDescent="0.4">
      <c r="C424" s="113" t="str">
        <f>IF(B424="","",_xlfn.XLOOKUP(B424,お客様CD!$A:$A,お客様CD!$B:$B,"",0))</f>
        <v/>
      </c>
    </row>
    <row r="425" spans="3:3" x14ac:dyDescent="0.4">
      <c r="C425" s="113" t="str">
        <f>IF(B425="","",_xlfn.XLOOKUP(B425,お客様CD!$A:$A,お客様CD!$B:$B,"",0))</f>
        <v/>
      </c>
    </row>
    <row r="426" spans="3:3" x14ac:dyDescent="0.4">
      <c r="C426" s="113" t="str">
        <f>IF(B426="","",_xlfn.XLOOKUP(B426,お客様CD!$A:$A,お客様CD!$B:$B,"",0))</f>
        <v/>
      </c>
    </row>
    <row r="427" spans="3:3" x14ac:dyDescent="0.4">
      <c r="C427" s="113" t="str">
        <f>IF(B427="","",_xlfn.XLOOKUP(B427,お客様CD!$A:$A,お客様CD!$B:$B,"",0))</f>
        <v/>
      </c>
    </row>
    <row r="428" spans="3:3" x14ac:dyDescent="0.4">
      <c r="C428" s="113" t="str">
        <f>IF(B428="","",_xlfn.XLOOKUP(B428,お客様CD!$A:$A,お客様CD!$B:$B,"",0))</f>
        <v/>
      </c>
    </row>
    <row r="429" spans="3:3" x14ac:dyDescent="0.4">
      <c r="C429" s="113" t="str">
        <f>IF(B429="","",_xlfn.XLOOKUP(B429,お客様CD!$A:$A,お客様CD!$B:$B,"",0))</f>
        <v/>
      </c>
    </row>
    <row r="430" spans="3:3" x14ac:dyDescent="0.4">
      <c r="C430" s="113" t="str">
        <f>IF(B430="","",_xlfn.XLOOKUP(B430,お客様CD!$A:$A,お客様CD!$B:$B,"",0))</f>
        <v/>
      </c>
    </row>
    <row r="431" spans="3:3" x14ac:dyDescent="0.4">
      <c r="C431" s="113" t="str">
        <f>IF(B431="","",_xlfn.XLOOKUP(B431,お客様CD!$A:$A,お客様CD!$B:$B,"",0))</f>
        <v/>
      </c>
    </row>
    <row r="432" spans="3:3" x14ac:dyDescent="0.4">
      <c r="C432" s="113" t="str">
        <f>IF(B432="","",_xlfn.XLOOKUP(B432,お客様CD!$A:$A,お客様CD!$B:$B,"",0))</f>
        <v/>
      </c>
    </row>
    <row r="433" spans="3:3" x14ac:dyDescent="0.4">
      <c r="C433" s="113" t="str">
        <f>IF(B433="","",_xlfn.XLOOKUP(B433,お客様CD!$A:$A,お客様CD!$B:$B,"",0))</f>
        <v/>
      </c>
    </row>
    <row r="434" spans="3:3" x14ac:dyDescent="0.4">
      <c r="C434" s="113" t="str">
        <f>IF(B434="","",_xlfn.XLOOKUP(B434,お客様CD!$A:$A,お客様CD!$B:$B,"",0))</f>
        <v/>
      </c>
    </row>
    <row r="435" spans="3:3" x14ac:dyDescent="0.4">
      <c r="C435" s="113" t="str">
        <f>IF(B435="","",_xlfn.XLOOKUP(B435,お客様CD!$A:$A,お客様CD!$B:$B,"",0))</f>
        <v/>
      </c>
    </row>
    <row r="436" spans="3:3" x14ac:dyDescent="0.4">
      <c r="C436" s="113" t="str">
        <f>IF(B436="","",_xlfn.XLOOKUP(B436,お客様CD!$A:$A,お客様CD!$B:$B,"",0))</f>
        <v/>
      </c>
    </row>
    <row r="437" spans="3:3" x14ac:dyDescent="0.4">
      <c r="C437" s="113" t="str">
        <f>IF(B437="","",_xlfn.XLOOKUP(B437,お客様CD!$A:$A,お客様CD!$B:$B,"",0))</f>
        <v/>
      </c>
    </row>
    <row r="438" spans="3:3" x14ac:dyDescent="0.4">
      <c r="C438" s="113" t="str">
        <f>IF(B438="","",_xlfn.XLOOKUP(B438,お客様CD!$A:$A,お客様CD!$B:$B,"",0))</f>
        <v/>
      </c>
    </row>
    <row r="439" spans="3:3" x14ac:dyDescent="0.4">
      <c r="C439" s="113" t="str">
        <f>IF(B439="","",_xlfn.XLOOKUP(B439,お客様CD!$A:$A,お客様CD!$B:$B,"",0))</f>
        <v/>
      </c>
    </row>
    <row r="440" spans="3:3" x14ac:dyDescent="0.4">
      <c r="C440" s="113" t="str">
        <f>IF(B440="","",_xlfn.XLOOKUP(B440,お客様CD!$A:$A,お客様CD!$B:$B,"",0))</f>
        <v/>
      </c>
    </row>
    <row r="441" spans="3:3" x14ac:dyDescent="0.4">
      <c r="C441" s="113" t="str">
        <f>IF(B441="","",_xlfn.XLOOKUP(B441,お客様CD!$A:$A,お客様CD!$B:$B,"",0))</f>
        <v/>
      </c>
    </row>
    <row r="442" spans="3:3" x14ac:dyDescent="0.4">
      <c r="C442" s="113" t="str">
        <f>IF(B442="","",_xlfn.XLOOKUP(B442,お客様CD!$A:$A,お客様CD!$B:$B,"",0))</f>
        <v/>
      </c>
    </row>
    <row r="443" spans="3:3" x14ac:dyDescent="0.4">
      <c r="C443" s="113" t="str">
        <f>IF(B443="","",_xlfn.XLOOKUP(B443,お客様CD!$A:$A,お客様CD!$B:$B,"",0))</f>
        <v/>
      </c>
    </row>
    <row r="444" spans="3:3" x14ac:dyDescent="0.4">
      <c r="C444" s="113" t="str">
        <f>IF(B444="","",_xlfn.XLOOKUP(B444,お客様CD!$A:$A,お客様CD!$B:$B,"",0))</f>
        <v/>
      </c>
    </row>
    <row r="445" spans="3:3" x14ac:dyDescent="0.4">
      <c r="C445" s="113" t="str">
        <f>IF(B445="","",_xlfn.XLOOKUP(B445,お客様CD!$A:$A,お客様CD!$B:$B,"",0))</f>
        <v/>
      </c>
    </row>
    <row r="446" spans="3:3" x14ac:dyDescent="0.4">
      <c r="C446" s="113" t="str">
        <f>IF(B446="","",_xlfn.XLOOKUP(B446,お客様CD!$A:$A,お客様CD!$B:$B,"",0))</f>
        <v/>
      </c>
    </row>
    <row r="447" spans="3:3" x14ac:dyDescent="0.4">
      <c r="C447" s="113" t="str">
        <f>IF(B447="","",_xlfn.XLOOKUP(B447,お客様CD!$A:$A,お客様CD!$B:$B,"",0))</f>
        <v/>
      </c>
    </row>
    <row r="448" spans="3:3" x14ac:dyDescent="0.4">
      <c r="C448" s="113" t="str">
        <f>IF(B448="","",_xlfn.XLOOKUP(B448,お客様CD!$A:$A,お客様CD!$B:$B,"",0))</f>
        <v/>
      </c>
    </row>
    <row r="449" spans="3:3" x14ac:dyDescent="0.4">
      <c r="C449" s="113" t="str">
        <f>IF(B449="","",_xlfn.XLOOKUP(B449,お客様CD!$A:$A,お客様CD!$B:$B,"",0))</f>
        <v/>
      </c>
    </row>
    <row r="450" spans="3:3" x14ac:dyDescent="0.4">
      <c r="C450" s="113" t="str">
        <f>IF(B450="","",_xlfn.XLOOKUP(B450,お客様CD!$A:$A,お客様CD!$B:$B,"",0))</f>
        <v/>
      </c>
    </row>
    <row r="451" spans="3:3" x14ac:dyDescent="0.4">
      <c r="C451" s="113" t="str">
        <f>IF(B451="","",_xlfn.XLOOKUP(B451,お客様CD!$A:$A,お客様CD!$B:$B,"",0))</f>
        <v/>
      </c>
    </row>
    <row r="452" spans="3:3" x14ac:dyDescent="0.4">
      <c r="C452" s="113" t="str">
        <f>IF(B452="","",_xlfn.XLOOKUP(B452,お客様CD!$A:$A,お客様CD!$B:$B,"",0))</f>
        <v/>
      </c>
    </row>
    <row r="453" spans="3:3" x14ac:dyDescent="0.4">
      <c r="C453" s="113" t="str">
        <f>IF(B453="","",_xlfn.XLOOKUP(B453,お客様CD!$A:$A,お客様CD!$B:$B,"",0))</f>
        <v/>
      </c>
    </row>
    <row r="454" spans="3:3" x14ac:dyDescent="0.4">
      <c r="C454" s="113" t="str">
        <f>IF(B454="","",_xlfn.XLOOKUP(B454,お客様CD!$A:$A,お客様CD!$B:$B,"",0))</f>
        <v/>
      </c>
    </row>
    <row r="455" spans="3:3" x14ac:dyDescent="0.4">
      <c r="C455" s="113" t="str">
        <f>IF(B455="","",_xlfn.XLOOKUP(B455,お客様CD!$A:$A,お客様CD!$B:$B,"",0))</f>
        <v/>
      </c>
    </row>
    <row r="456" spans="3:3" x14ac:dyDescent="0.4">
      <c r="C456" s="113" t="str">
        <f>IF(B456="","",_xlfn.XLOOKUP(B456,お客様CD!$A:$A,お客様CD!$B:$B,"",0))</f>
        <v/>
      </c>
    </row>
    <row r="457" spans="3:3" x14ac:dyDescent="0.4">
      <c r="C457" s="113" t="str">
        <f>IF(B457="","",_xlfn.XLOOKUP(B457,お客様CD!$A:$A,お客様CD!$B:$B,"",0))</f>
        <v/>
      </c>
    </row>
    <row r="458" spans="3:3" x14ac:dyDescent="0.4">
      <c r="C458" s="113" t="str">
        <f>IF(B458="","",_xlfn.XLOOKUP(B458,お客様CD!$A:$A,お客様CD!$B:$B,"",0))</f>
        <v/>
      </c>
    </row>
    <row r="459" spans="3:3" x14ac:dyDescent="0.4">
      <c r="C459" s="113" t="str">
        <f>IF(B459="","",_xlfn.XLOOKUP(B459,お客様CD!$A:$A,お客様CD!$B:$B,"",0))</f>
        <v/>
      </c>
    </row>
    <row r="460" spans="3:3" x14ac:dyDescent="0.4">
      <c r="C460" s="113" t="str">
        <f>IF(B460="","",_xlfn.XLOOKUP(B460,お客様CD!$A:$A,お客様CD!$B:$B,"",0))</f>
        <v/>
      </c>
    </row>
    <row r="461" spans="3:3" x14ac:dyDescent="0.4">
      <c r="C461" s="113" t="str">
        <f>IF(B461="","",_xlfn.XLOOKUP(B461,お客様CD!$A:$A,お客様CD!$B:$B,"",0))</f>
        <v/>
      </c>
    </row>
    <row r="462" spans="3:3" x14ac:dyDescent="0.4">
      <c r="C462" s="113" t="str">
        <f>IF(B462="","",_xlfn.XLOOKUP(B462,お客様CD!$A:$A,お客様CD!$B:$B,"",0))</f>
        <v/>
      </c>
    </row>
    <row r="463" spans="3:3" x14ac:dyDescent="0.4">
      <c r="C463" s="113" t="str">
        <f>IF(B463="","",_xlfn.XLOOKUP(B463,お客様CD!$A:$A,お客様CD!$B:$B,"",0))</f>
        <v/>
      </c>
    </row>
    <row r="464" spans="3:3" x14ac:dyDescent="0.4">
      <c r="C464" s="113" t="str">
        <f>IF(B464="","",_xlfn.XLOOKUP(B464,お客様CD!$A:$A,お客様CD!$B:$B,"",0))</f>
        <v/>
      </c>
    </row>
    <row r="465" spans="3:3" x14ac:dyDescent="0.4">
      <c r="C465" s="113" t="str">
        <f>IF(B465="","",_xlfn.XLOOKUP(B465,お客様CD!$A:$A,お客様CD!$B:$B,"",0))</f>
        <v/>
      </c>
    </row>
    <row r="466" spans="3:3" x14ac:dyDescent="0.4">
      <c r="C466" s="113" t="str">
        <f>IF(B466="","",_xlfn.XLOOKUP(B466,お客様CD!$A:$A,お客様CD!$B:$B,"",0))</f>
        <v/>
      </c>
    </row>
    <row r="467" spans="3:3" x14ac:dyDescent="0.4">
      <c r="C467" s="113" t="str">
        <f>IF(B467="","",_xlfn.XLOOKUP(B467,お客様CD!$A:$A,お客様CD!$B:$B,"",0))</f>
        <v/>
      </c>
    </row>
    <row r="468" spans="3:3" x14ac:dyDescent="0.4">
      <c r="C468" s="113" t="str">
        <f>IF(B468="","",_xlfn.XLOOKUP(B468,お客様CD!$A:$A,お客様CD!$B:$B,"",0))</f>
        <v/>
      </c>
    </row>
    <row r="469" spans="3:3" x14ac:dyDescent="0.4">
      <c r="C469" s="113" t="str">
        <f>IF(B469="","",_xlfn.XLOOKUP(B469,お客様CD!$A:$A,お客様CD!$B:$B,"",0))</f>
        <v/>
      </c>
    </row>
    <row r="470" spans="3:3" x14ac:dyDescent="0.4">
      <c r="C470" s="113" t="str">
        <f>IF(B470="","",_xlfn.XLOOKUP(B470,お客様CD!$A:$A,お客様CD!$B:$B,"",0))</f>
        <v/>
      </c>
    </row>
    <row r="471" spans="3:3" x14ac:dyDescent="0.4">
      <c r="C471" s="113" t="str">
        <f>IF(B471="","",_xlfn.XLOOKUP(B471,お客様CD!$A:$A,お客様CD!$B:$B,"",0))</f>
        <v/>
      </c>
    </row>
    <row r="472" spans="3:3" x14ac:dyDescent="0.4">
      <c r="C472" s="113" t="str">
        <f>IF(B472="","",_xlfn.XLOOKUP(B472,お客様CD!$A:$A,お客様CD!$B:$B,"",0))</f>
        <v/>
      </c>
    </row>
    <row r="473" spans="3:3" x14ac:dyDescent="0.4">
      <c r="C473" s="113" t="str">
        <f>IF(B473="","",_xlfn.XLOOKUP(B473,お客様CD!$A:$A,お客様CD!$B:$B,"",0))</f>
        <v/>
      </c>
    </row>
    <row r="474" spans="3:3" x14ac:dyDescent="0.4">
      <c r="C474" s="113" t="str">
        <f>IF(B474="","",_xlfn.XLOOKUP(B474,お客様CD!$A:$A,お客様CD!$B:$B,"",0))</f>
        <v/>
      </c>
    </row>
    <row r="475" spans="3:3" x14ac:dyDescent="0.4">
      <c r="C475" s="113" t="str">
        <f>IF(B475="","",_xlfn.XLOOKUP(B475,お客様CD!$A:$A,お客様CD!$B:$B,"",0))</f>
        <v/>
      </c>
    </row>
    <row r="476" spans="3:3" x14ac:dyDescent="0.4">
      <c r="C476" s="113" t="str">
        <f>IF(B476="","",_xlfn.XLOOKUP(B476,お客様CD!$A:$A,お客様CD!$B:$B,"",0))</f>
        <v/>
      </c>
    </row>
    <row r="477" spans="3:3" x14ac:dyDescent="0.4">
      <c r="C477" s="113" t="str">
        <f>IF(B477="","",_xlfn.XLOOKUP(B477,お客様CD!$A:$A,お客様CD!$B:$B,"",0))</f>
        <v/>
      </c>
    </row>
    <row r="478" spans="3:3" x14ac:dyDescent="0.4">
      <c r="C478" s="113" t="str">
        <f>IF(B478="","",_xlfn.XLOOKUP(B478,お客様CD!$A:$A,お客様CD!$B:$B,"",0))</f>
        <v/>
      </c>
    </row>
    <row r="479" spans="3:3" x14ac:dyDescent="0.4">
      <c r="C479" s="113" t="str">
        <f>IF(B479="","",_xlfn.XLOOKUP(B479,お客様CD!$A:$A,お客様CD!$B:$B,"",0))</f>
        <v/>
      </c>
    </row>
    <row r="480" spans="3:3" x14ac:dyDescent="0.4">
      <c r="C480" s="113" t="str">
        <f>IF(B480="","",_xlfn.XLOOKUP(B480,お客様CD!$A:$A,お客様CD!$B:$B,"",0))</f>
        <v/>
      </c>
    </row>
    <row r="481" spans="3:3" x14ac:dyDescent="0.4">
      <c r="C481" s="113" t="str">
        <f>IF(B481="","",_xlfn.XLOOKUP(B481,お客様CD!$A:$A,お客様CD!$B:$B,"",0))</f>
        <v/>
      </c>
    </row>
    <row r="482" spans="3:3" x14ac:dyDescent="0.4">
      <c r="C482" s="113" t="str">
        <f>IF(B482="","",_xlfn.XLOOKUP(B482,お客様CD!$A:$A,お客様CD!$B:$B,"",0))</f>
        <v/>
      </c>
    </row>
    <row r="483" spans="3:3" x14ac:dyDescent="0.4">
      <c r="C483" s="113" t="str">
        <f>IF(B483="","",_xlfn.XLOOKUP(B483,お客様CD!$A:$A,お客様CD!$B:$B,"",0))</f>
        <v/>
      </c>
    </row>
    <row r="484" spans="3:3" x14ac:dyDescent="0.4">
      <c r="C484" s="113" t="str">
        <f>IF(B484="","",_xlfn.XLOOKUP(B484,お客様CD!$A:$A,お客様CD!$B:$B,"",0))</f>
        <v/>
      </c>
    </row>
    <row r="485" spans="3:3" x14ac:dyDescent="0.4">
      <c r="C485" s="113" t="str">
        <f>IF(B485="","",_xlfn.XLOOKUP(B485,お客様CD!$A:$A,お客様CD!$B:$B,"",0))</f>
        <v/>
      </c>
    </row>
    <row r="486" spans="3:3" x14ac:dyDescent="0.4">
      <c r="C486" s="113" t="str">
        <f>IF(B486="","",_xlfn.XLOOKUP(B486,お客様CD!$A:$A,お客様CD!$B:$B,"",0))</f>
        <v/>
      </c>
    </row>
    <row r="487" spans="3:3" x14ac:dyDescent="0.4">
      <c r="C487" s="113" t="str">
        <f>IF(B487="","",_xlfn.XLOOKUP(B487,お客様CD!$A:$A,お客様CD!$B:$B,"",0))</f>
        <v/>
      </c>
    </row>
    <row r="488" spans="3:3" x14ac:dyDescent="0.4">
      <c r="C488" s="113" t="str">
        <f>IF(B488="","",_xlfn.XLOOKUP(B488,お客様CD!$A:$A,お客様CD!$B:$B,"",0))</f>
        <v/>
      </c>
    </row>
    <row r="489" spans="3:3" x14ac:dyDescent="0.4">
      <c r="C489" s="113" t="str">
        <f>IF(B489="","",_xlfn.XLOOKUP(B489,お客様CD!$A:$A,お客様CD!$B:$B,"",0))</f>
        <v/>
      </c>
    </row>
    <row r="490" spans="3:3" x14ac:dyDescent="0.4">
      <c r="C490" s="113" t="str">
        <f>IF(B490="","",_xlfn.XLOOKUP(B490,お客様CD!$A:$A,お客様CD!$B:$B,"",0))</f>
        <v/>
      </c>
    </row>
    <row r="491" spans="3:3" x14ac:dyDescent="0.4">
      <c r="C491" s="113" t="str">
        <f>IF(B491="","",_xlfn.XLOOKUP(B491,お客様CD!$A:$A,お客様CD!$B:$B,"",0))</f>
        <v/>
      </c>
    </row>
    <row r="492" spans="3:3" x14ac:dyDescent="0.4">
      <c r="C492" s="113" t="str">
        <f>IF(B492="","",_xlfn.XLOOKUP(B492,お客様CD!$A:$A,お客様CD!$B:$B,"",0))</f>
        <v/>
      </c>
    </row>
    <row r="493" spans="3:3" x14ac:dyDescent="0.4">
      <c r="C493" s="113" t="str">
        <f>IF(B493="","",_xlfn.XLOOKUP(B493,お客様CD!$A:$A,お客様CD!$B:$B,"",0))</f>
        <v/>
      </c>
    </row>
    <row r="494" spans="3:3" x14ac:dyDescent="0.4">
      <c r="C494" s="113" t="str">
        <f>IF(B494="","",_xlfn.XLOOKUP(B494,お客様CD!$A:$A,お客様CD!$B:$B,"",0))</f>
        <v/>
      </c>
    </row>
    <row r="495" spans="3:3" x14ac:dyDescent="0.4">
      <c r="C495" s="113" t="str">
        <f>IF(B495="","",_xlfn.XLOOKUP(B495,お客様CD!$A:$A,お客様CD!$B:$B,"",0))</f>
        <v/>
      </c>
    </row>
    <row r="496" spans="3:3" x14ac:dyDescent="0.4">
      <c r="C496" s="113" t="str">
        <f>IF(B496="","",_xlfn.XLOOKUP(B496,お客様CD!$A:$A,お客様CD!$B:$B,"",0))</f>
        <v/>
      </c>
    </row>
    <row r="497" spans="3:3" x14ac:dyDescent="0.4">
      <c r="C497" s="113" t="str">
        <f>IF(B497="","",_xlfn.XLOOKUP(B497,お客様CD!$A:$A,お客様CD!$B:$B,"",0))</f>
        <v/>
      </c>
    </row>
    <row r="498" spans="3:3" x14ac:dyDescent="0.4">
      <c r="C498" s="113" t="str">
        <f>IF(B498="","",_xlfn.XLOOKUP(B498,お客様CD!$A:$A,お客様CD!$B:$B,"",0))</f>
        <v/>
      </c>
    </row>
    <row r="499" spans="3:3" x14ac:dyDescent="0.4">
      <c r="C499" s="113" t="str">
        <f>IF(B499="","",_xlfn.XLOOKUP(B499,お客様CD!$A:$A,お客様CD!$B:$B,"",0))</f>
        <v/>
      </c>
    </row>
    <row r="500" spans="3:3" x14ac:dyDescent="0.4">
      <c r="C500" s="113" t="str">
        <f>IF(B500="","",_xlfn.XLOOKUP(B500,お客様CD!$A:$A,お客様CD!$B:$B,"",0))</f>
        <v/>
      </c>
    </row>
    <row r="501" spans="3:3" x14ac:dyDescent="0.4">
      <c r="C501" s="113" t="str">
        <f>IF(B501="","",_xlfn.XLOOKUP(B501,お客様CD!$A:$A,お客様CD!$B:$B,"",0))</f>
        <v/>
      </c>
    </row>
    <row r="502" spans="3:3" x14ac:dyDescent="0.4">
      <c r="C502" s="113" t="str">
        <f>IF(B502="","",_xlfn.XLOOKUP(B502,お客様CD!$A:$A,お客様CD!$B:$B,"",0))</f>
        <v/>
      </c>
    </row>
    <row r="503" spans="3:3" x14ac:dyDescent="0.4">
      <c r="C503" s="113" t="str">
        <f>IF(B503="","",_xlfn.XLOOKUP(B503,お客様CD!$A:$A,お客様CD!$B:$B,"",0))</f>
        <v/>
      </c>
    </row>
    <row r="504" spans="3:3" x14ac:dyDescent="0.4">
      <c r="C504" s="113" t="str">
        <f>IF(B504="","",_xlfn.XLOOKUP(B504,お客様CD!$A:$A,お客様CD!$B:$B,"",0))</f>
        <v/>
      </c>
    </row>
    <row r="505" spans="3:3" x14ac:dyDescent="0.4">
      <c r="C505" s="113" t="str">
        <f>IF(B505="","",_xlfn.XLOOKUP(B505,お客様CD!$A:$A,お客様CD!$B:$B,"",0))</f>
        <v/>
      </c>
    </row>
    <row r="506" spans="3:3" x14ac:dyDescent="0.4">
      <c r="C506" s="113" t="str">
        <f>IF(B506="","",_xlfn.XLOOKUP(B506,お客様CD!$A:$A,お客様CD!$B:$B,"",0))</f>
        <v/>
      </c>
    </row>
    <row r="507" spans="3:3" x14ac:dyDescent="0.4">
      <c r="C507" s="113" t="str">
        <f>IF(B507="","",_xlfn.XLOOKUP(B507,お客様CD!$A:$A,お客様CD!$B:$B,"",0))</f>
        <v/>
      </c>
    </row>
    <row r="508" spans="3:3" x14ac:dyDescent="0.4">
      <c r="C508" s="113" t="str">
        <f>IF(B508="","",_xlfn.XLOOKUP(B508,お客様CD!$A:$A,お客様CD!$B:$B,"",0))</f>
        <v/>
      </c>
    </row>
    <row r="509" spans="3:3" x14ac:dyDescent="0.4">
      <c r="C509" s="113" t="str">
        <f>IF(B509="","",_xlfn.XLOOKUP(B509,お客様CD!$A:$A,お客様CD!$B:$B,"",0))</f>
        <v/>
      </c>
    </row>
    <row r="510" spans="3:3" x14ac:dyDescent="0.4">
      <c r="C510" s="113" t="str">
        <f>IF(B510="","",_xlfn.XLOOKUP(B510,お客様CD!$A:$A,お客様CD!$B:$B,"",0))</f>
        <v/>
      </c>
    </row>
    <row r="511" spans="3:3" x14ac:dyDescent="0.4">
      <c r="C511" s="113" t="str">
        <f>IF(B511="","",_xlfn.XLOOKUP(B511,お客様CD!$A:$A,お客様CD!$B:$B,"",0))</f>
        <v/>
      </c>
    </row>
    <row r="512" spans="3:3" x14ac:dyDescent="0.4">
      <c r="C512" s="113" t="str">
        <f>IF(B512="","",_xlfn.XLOOKUP(B512,お客様CD!$A:$A,お客様CD!$B:$B,"",0))</f>
        <v/>
      </c>
    </row>
    <row r="513" spans="3:3" x14ac:dyDescent="0.4">
      <c r="C513" s="113" t="str">
        <f>IF(B513="","",_xlfn.XLOOKUP(B513,お客様CD!$A:$A,お客様CD!$B:$B,"",0))</f>
        <v/>
      </c>
    </row>
    <row r="514" spans="3:3" x14ac:dyDescent="0.4">
      <c r="C514" s="113" t="str">
        <f>IF(B514="","",_xlfn.XLOOKUP(B514,お客様CD!$A:$A,お客様CD!$B:$B,"",0))</f>
        <v/>
      </c>
    </row>
    <row r="515" spans="3:3" x14ac:dyDescent="0.4">
      <c r="C515" s="113" t="str">
        <f>IF(B515="","",_xlfn.XLOOKUP(B515,お客様CD!$A:$A,お客様CD!$B:$B,"",0))</f>
        <v/>
      </c>
    </row>
    <row r="516" spans="3:3" x14ac:dyDescent="0.4">
      <c r="C516" s="113" t="str">
        <f>IF(B516="","",_xlfn.XLOOKUP(B516,お客様CD!$A:$A,お客様CD!$B:$B,"",0))</f>
        <v/>
      </c>
    </row>
    <row r="517" spans="3:3" x14ac:dyDescent="0.4">
      <c r="C517" s="113" t="str">
        <f>IF(B517="","",_xlfn.XLOOKUP(B517,お客様CD!$A:$A,お客様CD!$B:$B,"",0))</f>
        <v/>
      </c>
    </row>
    <row r="518" spans="3:3" x14ac:dyDescent="0.4">
      <c r="C518" s="113" t="str">
        <f>IF(B518="","",_xlfn.XLOOKUP(B518,お客様CD!$A:$A,お客様CD!$B:$B,"",0))</f>
        <v/>
      </c>
    </row>
    <row r="519" spans="3:3" x14ac:dyDescent="0.4">
      <c r="C519" s="113" t="str">
        <f>IF(B519="","",_xlfn.XLOOKUP(B519,お客様CD!$A:$A,お客様CD!$B:$B,"",0))</f>
        <v/>
      </c>
    </row>
    <row r="520" spans="3:3" x14ac:dyDescent="0.4">
      <c r="C520" s="113" t="str">
        <f>IF(B520="","",_xlfn.XLOOKUP(B520,お客様CD!$A:$A,お客様CD!$B:$B,"",0))</f>
        <v/>
      </c>
    </row>
    <row r="521" spans="3:3" x14ac:dyDescent="0.4">
      <c r="C521" s="113" t="str">
        <f>IF(B521="","",_xlfn.XLOOKUP(B521,お客様CD!$A:$A,お客様CD!$B:$B,"",0))</f>
        <v/>
      </c>
    </row>
    <row r="522" spans="3:3" x14ac:dyDescent="0.4">
      <c r="C522" s="113" t="str">
        <f>IF(B522="","",_xlfn.XLOOKUP(B522,お客様CD!$A:$A,お客様CD!$B:$B,"",0))</f>
        <v/>
      </c>
    </row>
    <row r="523" spans="3:3" x14ac:dyDescent="0.4">
      <c r="C523" s="113" t="str">
        <f>IF(B523="","",_xlfn.XLOOKUP(B523,お客様CD!$A:$A,お客様CD!$B:$B,"",0))</f>
        <v/>
      </c>
    </row>
    <row r="524" spans="3:3" x14ac:dyDescent="0.4">
      <c r="C524" s="113" t="str">
        <f>IF(B524="","",_xlfn.XLOOKUP(B524,お客様CD!$A:$A,お客様CD!$B:$B,"",0))</f>
        <v/>
      </c>
    </row>
    <row r="525" spans="3:3" x14ac:dyDescent="0.4">
      <c r="C525" s="113" t="str">
        <f>IF(B525="","",_xlfn.XLOOKUP(B525,お客様CD!$A:$A,お客様CD!$B:$B,"",0))</f>
        <v/>
      </c>
    </row>
    <row r="526" spans="3:3" x14ac:dyDescent="0.4">
      <c r="C526" s="113" t="str">
        <f>IF(B526="","",_xlfn.XLOOKUP(B526,お客様CD!$A:$A,お客様CD!$B:$B,"",0))</f>
        <v/>
      </c>
    </row>
    <row r="527" spans="3:3" x14ac:dyDescent="0.4">
      <c r="C527" s="113" t="str">
        <f>IF(B527="","",_xlfn.XLOOKUP(B527,お客様CD!$A:$A,お客様CD!$B:$B,"",0))</f>
        <v/>
      </c>
    </row>
    <row r="528" spans="3:3" x14ac:dyDescent="0.4">
      <c r="C528" s="113" t="str">
        <f>IF(B528="","",_xlfn.XLOOKUP(B528,お客様CD!$A:$A,お客様CD!$B:$B,"",0))</f>
        <v/>
      </c>
    </row>
    <row r="529" spans="3:3" x14ac:dyDescent="0.4">
      <c r="C529" s="113" t="str">
        <f>IF(B529="","",_xlfn.XLOOKUP(B529,お客様CD!$A:$A,お客様CD!$B:$B,"",0))</f>
        <v/>
      </c>
    </row>
    <row r="530" spans="3:3" x14ac:dyDescent="0.4">
      <c r="C530" s="113" t="str">
        <f>IF(B530="","",_xlfn.XLOOKUP(B530,お客様CD!$A:$A,お客様CD!$B:$B,"",0))</f>
        <v/>
      </c>
    </row>
    <row r="531" spans="3:3" x14ac:dyDescent="0.4">
      <c r="C531" s="113" t="str">
        <f>IF(B531="","",_xlfn.XLOOKUP(B531,お客様CD!$A:$A,お客様CD!$B:$B,"",0))</f>
        <v/>
      </c>
    </row>
    <row r="532" spans="3:3" x14ac:dyDescent="0.4">
      <c r="C532" s="113" t="str">
        <f>IF(B532="","",_xlfn.XLOOKUP(B532,お客様CD!$A:$A,お客様CD!$B:$B,"",0))</f>
        <v/>
      </c>
    </row>
    <row r="533" spans="3:3" x14ac:dyDescent="0.4">
      <c r="C533" s="113" t="str">
        <f>IF(B533="","",_xlfn.XLOOKUP(B533,お客様CD!$A:$A,お客様CD!$B:$B,"",0))</f>
        <v/>
      </c>
    </row>
    <row r="534" spans="3:3" x14ac:dyDescent="0.4">
      <c r="C534" s="113" t="str">
        <f>IF(B534="","",_xlfn.XLOOKUP(B534,お客様CD!$A:$A,お客様CD!$B:$B,"",0))</f>
        <v/>
      </c>
    </row>
    <row r="535" spans="3:3" x14ac:dyDescent="0.4">
      <c r="C535" s="113" t="str">
        <f>IF(B535="","",_xlfn.XLOOKUP(B535,お客様CD!$A:$A,お客様CD!$B:$B,"",0))</f>
        <v/>
      </c>
    </row>
    <row r="536" spans="3:3" x14ac:dyDescent="0.4">
      <c r="C536" s="113" t="str">
        <f>IF(B536="","",_xlfn.XLOOKUP(B536,お客様CD!$A:$A,お客様CD!$B:$B,"",0))</f>
        <v/>
      </c>
    </row>
    <row r="537" spans="3:3" x14ac:dyDescent="0.4">
      <c r="C537" s="113" t="str">
        <f>IF(B537="","",_xlfn.XLOOKUP(B537,お客様CD!$A:$A,お客様CD!$B:$B,"",0))</f>
        <v/>
      </c>
    </row>
    <row r="538" spans="3:3" x14ac:dyDescent="0.4">
      <c r="C538" s="113" t="str">
        <f>IF(B538="","",_xlfn.XLOOKUP(B538,お客様CD!$A:$A,お客様CD!$B:$B,"",0))</f>
        <v/>
      </c>
    </row>
    <row r="539" spans="3:3" x14ac:dyDescent="0.4">
      <c r="C539" s="113" t="str">
        <f>IF(B539="","",_xlfn.XLOOKUP(B539,お客様CD!$A:$A,お客様CD!$B:$B,"",0))</f>
        <v/>
      </c>
    </row>
    <row r="540" spans="3:3" x14ac:dyDescent="0.4">
      <c r="C540" s="113" t="str">
        <f>IF(B540="","",_xlfn.XLOOKUP(B540,お客様CD!$A:$A,お客様CD!$B:$B,"",0))</f>
        <v/>
      </c>
    </row>
    <row r="541" spans="3:3" x14ac:dyDescent="0.4">
      <c r="C541" s="113" t="str">
        <f>IF(B541="","",_xlfn.XLOOKUP(B541,お客様CD!$A:$A,お客様CD!$B:$B,"",0))</f>
        <v/>
      </c>
    </row>
    <row r="542" spans="3:3" x14ac:dyDescent="0.4">
      <c r="C542" s="113" t="str">
        <f>IF(B542="","",_xlfn.XLOOKUP(B542,お客様CD!$A:$A,お客様CD!$B:$B,"",0))</f>
        <v/>
      </c>
    </row>
    <row r="543" spans="3:3" x14ac:dyDescent="0.4">
      <c r="C543" s="113" t="str">
        <f>IF(B543="","",_xlfn.XLOOKUP(B543,お客様CD!$A:$A,お客様CD!$B:$B,"",0))</f>
        <v/>
      </c>
    </row>
    <row r="544" spans="3:3" x14ac:dyDescent="0.4">
      <c r="C544" s="113" t="str">
        <f>IF(B544="","",_xlfn.XLOOKUP(B544,お客様CD!$A:$A,お客様CD!$B:$B,"",0))</f>
        <v/>
      </c>
    </row>
    <row r="545" spans="3:3" x14ac:dyDescent="0.4">
      <c r="C545" s="113" t="str">
        <f>IF(B545="","",_xlfn.XLOOKUP(B545,お客様CD!$A:$A,お客様CD!$B:$B,"",0))</f>
        <v/>
      </c>
    </row>
    <row r="546" spans="3:3" x14ac:dyDescent="0.4">
      <c r="C546" s="113" t="str">
        <f>IF(B546="","",_xlfn.XLOOKUP(B546,お客様CD!$A:$A,お客様CD!$B:$B,"",0))</f>
        <v/>
      </c>
    </row>
    <row r="547" spans="3:3" x14ac:dyDescent="0.4">
      <c r="C547" s="113" t="str">
        <f>IF(B547="","",_xlfn.XLOOKUP(B547,お客様CD!$A:$A,お客様CD!$B:$B,"",0))</f>
        <v/>
      </c>
    </row>
    <row r="548" spans="3:3" x14ac:dyDescent="0.4">
      <c r="C548" s="113" t="str">
        <f>IF(B548="","",_xlfn.XLOOKUP(B548,お客様CD!$A:$A,お客様CD!$B:$B,"",0))</f>
        <v/>
      </c>
    </row>
    <row r="549" spans="3:3" x14ac:dyDescent="0.4">
      <c r="C549" s="113" t="str">
        <f>IF(B549="","",_xlfn.XLOOKUP(B549,お客様CD!$A:$A,お客様CD!$B:$B,"",0))</f>
        <v/>
      </c>
    </row>
    <row r="550" spans="3:3" x14ac:dyDescent="0.4">
      <c r="C550" s="113" t="str">
        <f>IF(B550="","",_xlfn.XLOOKUP(B550,お客様CD!$A:$A,お客様CD!$B:$B,"",0))</f>
        <v/>
      </c>
    </row>
    <row r="551" spans="3:3" x14ac:dyDescent="0.4">
      <c r="C551" s="113" t="str">
        <f>IF(B551="","",_xlfn.XLOOKUP(B551,お客様CD!$A:$A,お客様CD!$B:$B,"",0))</f>
        <v/>
      </c>
    </row>
    <row r="552" spans="3:3" x14ac:dyDescent="0.4">
      <c r="C552" s="113" t="str">
        <f>IF(B552="","",_xlfn.XLOOKUP(B552,お客様CD!$A:$A,お客様CD!$B:$B,"",0))</f>
        <v/>
      </c>
    </row>
    <row r="553" spans="3:3" x14ac:dyDescent="0.4">
      <c r="C553" s="113" t="str">
        <f>IF(B553="","",_xlfn.XLOOKUP(B553,お客様CD!$A:$A,お客様CD!$B:$B,"",0))</f>
        <v/>
      </c>
    </row>
    <row r="554" spans="3:3" x14ac:dyDescent="0.4">
      <c r="C554" s="113" t="str">
        <f>IF(B554="","",_xlfn.XLOOKUP(B554,お客様CD!$A:$A,お客様CD!$B:$B,"",0))</f>
        <v/>
      </c>
    </row>
    <row r="555" spans="3:3" x14ac:dyDescent="0.4">
      <c r="C555" s="113" t="str">
        <f>IF(B555="","",_xlfn.XLOOKUP(B555,お客様CD!$A:$A,お客様CD!$B:$B,"",0))</f>
        <v/>
      </c>
    </row>
    <row r="556" spans="3:3" x14ac:dyDescent="0.4">
      <c r="C556" s="113" t="str">
        <f>IF(B556="","",_xlfn.XLOOKUP(B556,お客様CD!$A:$A,お客様CD!$B:$B,"",0))</f>
        <v/>
      </c>
    </row>
    <row r="557" spans="3:3" x14ac:dyDescent="0.4">
      <c r="C557" s="113" t="str">
        <f>IF(B557="","",_xlfn.XLOOKUP(B557,お客様CD!$A:$A,お客様CD!$B:$B,"",0))</f>
        <v/>
      </c>
    </row>
    <row r="558" spans="3:3" x14ac:dyDescent="0.4">
      <c r="C558" s="113" t="str">
        <f>IF(B558="","",_xlfn.XLOOKUP(B558,お客様CD!$A:$A,お客様CD!$B:$B,"",0))</f>
        <v/>
      </c>
    </row>
    <row r="559" spans="3:3" x14ac:dyDescent="0.4">
      <c r="C559" s="113" t="str">
        <f>IF(B559="","",_xlfn.XLOOKUP(B559,お客様CD!$A:$A,お客様CD!$B:$B,"",0))</f>
        <v/>
      </c>
    </row>
    <row r="560" spans="3:3" x14ac:dyDescent="0.4">
      <c r="C560" s="113" t="str">
        <f>IF(B560="","",_xlfn.XLOOKUP(B560,お客様CD!$A:$A,お客様CD!$B:$B,"",0))</f>
        <v/>
      </c>
    </row>
    <row r="561" spans="3:3" x14ac:dyDescent="0.4">
      <c r="C561" s="113" t="str">
        <f>IF(B561="","",_xlfn.XLOOKUP(B561,お客様CD!$A:$A,お客様CD!$B:$B,"",0))</f>
        <v/>
      </c>
    </row>
    <row r="562" spans="3:3" x14ac:dyDescent="0.4">
      <c r="C562" s="113" t="str">
        <f>IF(B562="","",_xlfn.XLOOKUP(B562,お客様CD!$A:$A,お客様CD!$B:$B,"",0))</f>
        <v/>
      </c>
    </row>
    <row r="563" spans="3:3" x14ac:dyDescent="0.4">
      <c r="C563" s="113" t="str">
        <f>IF(B563="","",_xlfn.XLOOKUP(B563,お客様CD!$A:$A,お客様CD!$B:$B,"",0))</f>
        <v/>
      </c>
    </row>
    <row r="564" spans="3:3" x14ac:dyDescent="0.4">
      <c r="C564" s="113" t="str">
        <f>IF(B564="","",_xlfn.XLOOKUP(B564,お客様CD!$A:$A,お客様CD!$B:$B,"",0))</f>
        <v/>
      </c>
    </row>
    <row r="565" spans="3:3" x14ac:dyDescent="0.4">
      <c r="C565" s="113" t="str">
        <f>IF(B565="","",_xlfn.XLOOKUP(B565,お客様CD!$A:$A,お客様CD!$B:$B,"",0))</f>
        <v/>
      </c>
    </row>
    <row r="566" spans="3:3" x14ac:dyDescent="0.4">
      <c r="C566" s="113" t="str">
        <f>IF(B566="","",_xlfn.XLOOKUP(B566,お客様CD!$A:$A,お客様CD!$B:$B,"",0))</f>
        <v/>
      </c>
    </row>
    <row r="567" spans="3:3" x14ac:dyDescent="0.4">
      <c r="C567" s="113" t="str">
        <f>IF(B567="","",_xlfn.XLOOKUP(B567,お客様CD!$A:$A,お客様CD!$B:$B,"",0))</f>
        <v/>
      </c>
    </row>
    <row r="568" spans="3:3" x14ac:dyDescent="0.4">
      <c r="C568" s="113" t="str">
        <f>IF(B568="","",_xlfn.XLOOKUP(B568,お客様CD!$A:$A,お客様CD!$B:$B,"",0))</f>
        <v/>
      </c>
    </row>
    <row r="569" spans="3:3" x14ac:dyDescent="0.4">
      <c r="C569" s="113" t="str">
        <f>IF(B569="","",_xlfn.XLOOKUP(B569,お客様CD!$A:$A,お客様CD!$B:$B,"",0))</f>
        <v/>
      </c>
    </row>
    <row r="570" spans="3:3" x14ac:dyDescent="0.4">
      <c r="C570" s="113" t="str">
        <f>IF(B570="","",_xlfn.XLOOKUP(B570,お客様CD!$A:$A,お客様CD!$B:$B,"",0))</f>
        <v/>
      </c>
    </row>
    <row r="571" spans="3:3" x14ac:dyDescent="0.4">
      <c r="C571" s="113" t="str">
        <f>IF(B571="","",_xlfn.XLOOKUP(B571,お客様CD!$A:$A,お客様CD!$B:$B,"",0))</f>
        <v/>
      </c>
    </row>
    <row r="572" spans="3:3" x14ac:dyDescent="0.4">
      <c r="C572" s="113" t="str">
        <f>IF(B572="","",_xlfn.XLOOKUP(B572,お客様CD!$A:$A,お客様CD!$B:$B,"",0))</f>
        <v/>
      </c>
    </row>
    <row r="573" spans="3:3" x14ac:dyDescent="0.4">
      <c r="C573" s="113" t="str">
        <f>IF(B573="","",_xlfn.XLOOKUP(B573,お客様CD!$A:$A,お客様CD!$B:$B,"",0))</f>
        <v/>
      </c>
    </row>
    <row r="574" spans="3:3" x14ac:dyDescent="0.4">
      <c r="C574" s="113" t="str">
        <f>IF(B574="","",_xlfn.XLOOKUP(B574,お客様CD!$A:$A,お客様CD!$B:$B,"",0))</f>
        <v/>
      </c>
    </row>
    <row r="575" spans="3:3" x14ac:dyDescent="0.4">
      <c r="C575" s="113" t="str">
        <f>IF(B575="","",_xlfn.XLOOKUP(B575,お客様CD!$A:$A,お客様CD!$B:$B,"",0))</f>
        <v/>
      </c>
    </row>
    <row r="576" spans="3:3" x14ac:dyDescent="0.4">
      <c r="C576" s="113" t="str">
        <f>IF(B576="","",_xlfn.XLOOKUP(B576,お客様CD!$A:$A,お客様CD!$B:$B,"",0))</f>
        <v/>
      </c>
    </row>
    <row r="577" spans="3:3" x14ac:dyDescent="0.4">
      <c r="C577" s="113" t="str">
        <f>IF(B577="","",_xlfn.XLOOKUP(B577,お客様CD!$A:$A,お客様CD!$B:$B,"",0))</f>
        <v/>
      </c>
    </row>
    <row r="578" spans="3:3" x14ac:dyDescent="0.4">
      <c r="C578" s="113" t="str">
        <f>IF(B578="","",_xlfn.XLOOKUP(B578,お客様CD!$A:$A,お客様CD!$B:$B,"",0))</f>
        <v/>
      </c>
    </row>
    <row r="579" spans="3:3" x14ac:dyDescent="0.4">
      <c r="C579" s="113" t="str">
        <f>IF(B579="","",_xlfn.XLOOKUP(B579,お客様CD!$A:$A,お客様CD!$B:$B,"",0))</f>
        <v/>
      </c>
    </row>
    <row r="580" spans="3:3" x14ac:dyDescent="0.4">
      <c r="C580" s="113" t="str">
        <f>IF(B580="","",_xlfn.XLOOKUP(B580,お客様CD!$A:$A,お客様CD!$B:$B,"",0))</f>
        <v/>
      </c>
    </row>
    <row r="581" spans="3:3" x14ac:dyDescent="0.4">
      <c r="C581" s="113" t="str">
        <f>IF(B581="","",_xlfn.XLOOKUP(B581,お客様CD!$A:$A,お客様CD!$B:$B,"",0))</f>
        <v/>
      </c>
    </row>
    <row r="582" spans="3:3" x14ac:dyDescent="0.4">
      <c r="C582" s="113" t="str">
        <f>IF(B582="","",_xlfn.XLOOKUP(B582,お客様CD!$A:$A,お客様CD!$B:$B,"",0))</f>
        <v/>
      </c>
    </row>
    <row r="583" spans="3:3" x14ac:dyDescent="0.4">
      <c r="C583" s="113" t="str">
        <f>IF(B583="","",_xlfn.XLOOKUP(B583,お客様CD!$A:$A,お客様CD!$B:$B,"",0))</f>
        <v/>
      </c>
    </row>
    <row r="584" spans="3:3" x14ac:dyDescent="0.4">
      <c r="C584" s="113" t="str">
        <f>IF(B584="","",_xlfn.XLOOKUP(B584,お客様CD!$A:$A,お客様CD!$B:$B,"",0))</f>
        <v/>
      </c>
    </row>
    <row r="585" spans="3:3" x14ac:dyDescent="0.4">
      <c r="C585" s="113" t="str">
        <f>IF(B585="","",_xlfn.XLOOKUP(B585,お客様CD!$A:$A,お客様CD!$B:$B,"",0))</f>
        <v/>
      </c>
    </row>
    <row r="586" spans="3:3" x14ac:dyDescent="0.4">
      <c r="C586" s="113" t="str">
        <f>IF(B586="","",_xlfn.XLOOKUP(B586,お客様CD!$A:$A,お客様CD!$B:$B,"",0))</f>
        <v/>
      </c>
    </row>
    <row r="587" spans="3:3" x14ac:dyDescent="0.4">
      <c r="C587" s="113" t="str">
        <f>IF(B587="","",_xlfn.XLOOKUP(B587,お客様CD!$A:$A,お客様CD!$B:$B,"",0))</f>
        <v/>
      </c>
    </row>
    <row r="588" spans="3:3" x14ac:dyDescent="0.4">
      <c r="C588" s="113" t="str">
        <f>IF(B588="","",_xlfn.XLOOKUP(B588,お客様CD!$A:$A,お客様CD!$B:$B,"",0))</f>
        <v/>
      </c>
    </row>
    <row r="589" spans="3:3" x14ac:dyDescent="0.4">
      <c r="C589" s="113" t="str">
        <f>IF(B589="","",_xlfn.XLOOKUP(B589,お客様CD!$A:$A,お客様CD!$B:$B,"",0))</f>
        <v/>
      </c>
    </row>
    <row r="590" spans="3:3" x14ac:dyDescent="0.4">
      <c r="C590" s="113" t="str">
        <f>IF(B590="","",_xlfn.XLOOKUP(B590,お客様CD!$A:$A,お客様CD!$B:$B,"",0))</f>
        <v/>
      </c>
    </row>
    <row r="591" spans="3:3" x14ac:dyDescent="0.4">
      <c r="C591" s="113" t="str">
        <f>IF(B591="","",_xlfn.XLOOKUP(B591,お客様CD!$A:$A,お客様CD!$B:$B,"",0))</f>
        <v/>
      </c>
    </row>
    <row r="592" spans="3:3" x14ac:dyDescent="0.4">
      <c r="C592" s="113" t="str">
        <f>IF(B592="","",_xlfn.XLOOKUP(B592,お客様CD!$A:$A,お客様CD!$B:$B,"",0))</f>
        <v/>
      </c>
    </row>
    <row r="593" spans="3:3" x14ac:dyDescent="0.4">
      <c r="C593" s="113" t="str">
        <f>IF(B593="","",_xlfn.XLOOKUP(B593,お客様CD!$A:$A,お客様CD!$B:$B,"",0))</f>
        <v/>
      </c>
    </row>
    <row r="594" spans="3:3" x14ac:dyDescent="0.4">
      <c r="C594" s="113" t="str">
        <f>IF(B594="","",_xlfn.XLOOKUP(B594,お客様CD!$A:$A,お客様CD!$B:$B,"",0))</f>
        <v/>
      </c>
    </row>
    <row r="595" spans="3:3" x14ac:dyDescent="0.4">
      <c r="C595" s="113" t="str">
        <f>IF(B595="","",_xlfn.XLOOKUP(B595,お客様CD!$A:$A,お客様CD!$B:$B,"",0))</f>
        <v/>
      </c>
    </row>
    <row r="596" spans="3:3" x14ac:dyDescent="0.4">
      <c r="C596" s="113" t="str">
        <f>IF(B596="","",_xlfn.XLOOKUP(B596,お客様CD!$A:$A,お客様CD!$B:$B,"",0))</f>
        <v/>
      </c>
    </row>
    <row r="597" spans="3:3" x14ac:dyDescent="0.4">
      <c r="C597" s="113" t="str">
        <f>IF(B597="","",_xlfn.XLOOKUP(B597,お客様CD!$A:$A,お客様CD!$B:$B,"",0))</f>
        <v/>
      </c>
    </row>
    <row r="598" spans="3:3" x14ac:dyDescent="0.4">
      <c r="C598" s="113" t="str">
        <f>IF(B598="","",_xlfn.XLOOKUP(B598,お客様CD!$A:$A,お客様CD!$B:$B,"",0))</f>
        <v/>
      </c>
    </row>
    <row r="599" spans="3:3" x14ac:dyDescent="0.4">
      <c r="C599" s="113" t="str">
        <f>IF(B599="","",_xlfn.XLOOKUP(B599,お客様CD!$A:$A,お客様CD!$B:$B,"",0))</f>
        <v/>
      </c>
    </row>
    <row r="600" spans="3:3" x14ac:dyDescent="0.4">
      <c r="C600" s="113" t="str">
        <f>IF(B600="","",_xlfn.XLOOKUP(B600,お客様CD!$A:$A,お客様CD!$B:$B,"",0))</f>
        <v/>
      </c>
    </row>
    <row r="601" spans="3:3" x14ac:dyDescent="0.4">
      <c r="C601" s="113" t="str">
        <f>IF(B601="","",_xlfn.XLOOKUP(B601,お客様CD!$A:$A,お客様CD!$B:$B,"",0))</f>
        <v/>
      </c>
    </row>
    <row r="602" spans="3:3" x14ac:dyDescent="0.4">
      <c r="C602" s="113" t="str">
        <f>IF(B602="","",_xlfn.XLOOKUP(B602,お客様CD!$A:$A,お客様CD!$B:$B,"",0))</f>
        <v/>
      </c>
    </row>
    <row r="603" spans="3:3" x14ac:dyDescent="0.4">
      <c r="C603" s="113" t="str">
        <f>IF(B603="","",_xlfn.XLOOKUP(B603,お客様CD!$A:$A,お客様CD!$B:$B,"",0))</f>
        <v/>
      </c>
    </row>
    <row r="604" spans="3:3" x14ac:dyDescent="0.4">
      <c r="C604" s="113" t="str">
        <f>IF(B604="","",_xlfn.XLOOKUP(B604,お客様CD!$A:$A,お客様CD!$B:$B,"",0))</f>
        <v/>
      </c>
    </row>
    <row r="605" spans="3:3" x14ac:dyDescent="0.4">
      <c r="C605" s="113" t="str">
        <f>IF(B605="","",_xlfn.XLOOKUP(B605,お客様CD!$A:$A,お客様CD!$B:$B,"",0))</f>
        <v/>
      </c>
    </row>
    <row r="606" spans="3:3" x14ac:dyDescent="0.4">
      <c r="C606" s="113" t="str">
        <f>IF(B606="","",_xlfn.XLOOKUP(B606,お客様CD!$A:$A,お客様CD!$B:$B,"",0))</f>
        <v/>
      </c>
    </row>
    <row r="607" spans="3:3" x14ac:dyDescent="0.4">
      <c r="C607" s="113" t="str">
        <f>IF(B607="","",_xlfn.XLOOKUP(B607,お客様CD!$A:$A,お客様CD!$B:$B,"",0))</f>
        <v/>
      </c>
    </row>
    <row r="608" spans="3:3" x14ac:dyDescent="0.4">
      <c r="C608" s="113" t="str">
        <f>IF(B608="","",_xlfn.XLOOKUP(B608,お客様CD!$A:$A,お客様CD!$B:$B,"",0))</f>
        <v/>
      </c>
    </row>
    <row r="609" spans="3:3" x14ac:dyDescent="0.4">
      <c r="C609" s="113" t="str">
        <f>IF(B609="","",_xlfn.XLOOKUP(B609,お客様CD!$A:$A,お客様CD!$B:$B,"",0))</f>
        <v/>
      </c>
    </row>
    <row r="610" spans="3:3" x14ac:dyDescent="0.4">
      <c r="C610" s="113" t="str">
        <f>IF(B610="","",_xlfn.XLOOKUP(B610,お客様CD!$A:$A,お客様CD!$B:$B,"",0))</f>
        <v/>
      </c>
    </row>
    <row r="611" spans="3:3" x14ac:dyDescent="0.4">
      <c r="C611" s="113" t="str">
        <f>IF(B611="","",_xlfn.XLOOKUP(B611,お客様CD!$A:$A,お客様CD!$B:$B,"",0))</f>
        <v/>
      </c>
    </row>
    <row r="612" spans="3:3" x14ac:dyDescent="0.4">
      <c r="C612" s="113" t="str">
        <f>IF(B612="","",_xlfn.XLOOKUP(B612,お客様CD!$A:$A,お客様CD!$B:$B,"",0))</f>
        <v/>
      </c>
    </row>
    <row r="613" spans="3:3" x14ac:dyDescent="0.4">
      <c r="C613" s="113" t="str">
        <f>IF(B613="","",_xlfn.XLOOKUP(B613,お客様CD!$A:$A,お客様CD!$B:$B,"",0))</f>
        <v/>
      </c>
    </row>
    <row r="614" spans="3:3" x14ac:dyDescent="0.4">
      <c r="C614" s="113" t="str">
        <f>IF(B614="","",_xlfn.XLOOKUP(B614,お客様CD!$A:$A,お客様CD!$B:$B,"",0))</f>
        <v/>
      </c>
    </row>
    <row r="615" spans="3:3" x14ac:dyDescent="0.4">
      <c r="C615" s="113" t="str">
        <f>IF(B615="","",_xlfn.XLOOKUP(B615,お客様CD!$A:$A,お客様CD!$B:$B,"",0))</f>
        <v/>
      </c>
    </row>
    <row r="616" spans="3:3" x14ac:dyDescent="0.4">
      <c r="C616" s="113" t="str">
        <f>IF(B616="","",_xlfn.XLOOKUP(B616,お客様CD!$A:$A,お客様CD!$B:$B,"",0))</f>
        <v/>
      </c>
    </row>
    <row r="617" spans="3:3" x14ac:dyDescent="0.4">
      <c r="C617" s="113" t="str">
        <f>IF(B617="","",_xlfn.XLOOKUP(B617,お客様CD!$A:$A,お客様CD!$B:$B,"",0))</f>
        <v/>
      </c>
    </row>
    <row r="618" spans="3:3" x14ac:dyDescent="0.4">
      <c r="C618" s="113" t="str">
        <f>IF(B618="","",_xlfn.XLOOKUP(B618,お客様CD!$A:$A,お客様CD!$B:$B,"",0))</f>
        <v/>
      </c>
    </row>
    <row r="619" spans="3:3" x14ac:dyDescent="0.4">
      <c r="C619" s="113" t="str">
        <f>IF(B619="","",_xlfn.XLOOKUP(B619,お客様CD!$A:$A,お客様CD!$B:$B,"",0))</f>
        <v/>
      </c>
    </row>
    <row r="620" spans="3:3" x14ac:dyDescent="0.4">
      <c r="C620" s="113" t="str">
        <f>IF(B620="","",_xlfn.XLOOKUP(B620,お客様CD!$A:$A,お客様CD!$B:$B,"",0))</f>
        <v/>
      </c>
    </row>
    <row r="621" spans="3:3" x14ac:dyDescent="0.4">
      <c r="C621" s="113" t="str">
        <f>IF(B621="","",_xlfn.XLOOKUP(B621,お客様CD!$A:$A,お客様CD!$B:$B,"",0))</f>
        <v/>
      </c>
    </row>
    <row r="622" spans="3:3" x14ac:dyDescent="0.4">
      <c r="C622" s="113" t="str">
        <f>IF(B622="","",_xlfn.XLOOKUP(B622,お客様CD!$A:$A,お客様CD!$B:$B,"",0))</f>
        <v/>
      </c>
    </row>
    <row r="623" spans="3:3" x14ac:dyDescent="0.4">
      <c r="C623" s="113" t="str">
        <f>IF(B623="","",_xlfn.XLOOKUP(B623,お客様CD!$A:$A,お客様CD!$B:$B,"",0))</f>
        <v/>
      </c>
    </row>
    <row r="624" spans="3:3" x14ac:dyDescent="0.4">
      <c r="C624" s="113" t="str">
        <f>IF(B624="","",_xlfn.XLOOKUP(B624,お客様CD!$A:$A,お客様CD!$B:$B,"",0))</f>
        <v/>
      </c>
    </row>
    <row r="625" spans="3:3" x14ac:dyDescent="0.4">
      <c r="C625" s="113" t="str">
        <f>IF(B625="","",_xlfn.XLOOKUP(B625,お客様CD!$A:$A,お客様CD!$B:$B,"",0))</f>
        <v/>
      </c>
    </row>
    <row r="626" spans="3:3" x14ac:dyDescent="0.4">
      <c r="C626" s="113" t="str">
        <f>IF(B626="","",_xlfn.XLOOKUP(B626,お客様CD!$A:$A,お客様CD!$B:$B,"",0))</f>
        <v/>
      </c>
    </row>
    <row r="627" spans="3:3" x14ac:dyDescent="0.4">
      <c r="C627" s="113" t="str">
        <f>IF(B627="","",_xlfn.XLOOKUP(B627,お客様CD!$A:$A,お客様CD!$B:$B,"",0))</f>
        <v/>
      </c>
    </row>
    <row r="628" spans="3:3" x14ac:dyDescent="0.4">
      <c r="C628" s="113" t="str">
        <f>IF(B628="","",_xlfn.XLOOKUP(B628,お客様CD!$A:$A,お客様CD!$B:$B,"",0))</f>
        <v/>
      </c>
    </row>
    <row r="629" spans="3:3" x14ac:dyDescent="0.4">
      <c r="C629" s="113" t="str">
        <f>IF(B629="","",_xlfn.XLOOKUP(B629,お客様CD!$A:$A,お客様CD!$B:$B,"",0))</f>
        <v/>
      </c>
    </row>
    <row r="630" spans="3:3" x14ac:dyDescent="0.4">
      <c r="C630" s="113" t="str">
        <f>IF(B630="","",_xlfn.XLOOKUP(B630,お客様CD!$A:$A,お客様CD!$B:$B,"",0))</f>
        <v/>
      </c>
    </row>
    <row r="631" spans="3:3" x14ac:dyDescent="0.4">
      <c r="C631" s="113" t="str">
        <f>IF(B631="","",_xlfn.XLOOKUP(B631,お客様CD!$A:$A,お客様CD!$B:$B,"",0))</f>
        <v/>
      </c>
    </row>
    <row r="632" spans="3:3" x14ac:dyDescent="0.4">
      <c r="C632" s="113" t="str">
        <f>IF(B632="","",_xlfn.XLOOKUP(B632,お客様CD!$A:$A,お客様CD!$B:$B,"",0))</f>
        <v/>
      </c>
    </row>
    <row r="633" spans="3:3" x14ac:dyDescent="0.4">
      <c r="C633" s="113" t="str">
        <f>IF(B633="","",_xlfn.XLOOKUP(B633,お客様CD!$A:$A,お客様CD!$B:$B,"",0))</f>
        <v/>
      </c>
    </row>
    <row r="634" spans="3:3" x14ac:dyDescent="0.4">
      <c r="C634" s="113" t="str">
        <f>IF(B634="","",_xlfn.XLOOKUP(B634,お客様CD!$A:$A,お客様CD!$B:$B,"",0))</f>
        <v/>
      </c>
    </row>
    <row r="635" spans="3:3" x14ac:dyDescent="0.4">
      <c r="C635" s="113" t="str">
        <f>IF(B635="","",_xlfn.XLOOKUP(B635,お客様CD!$A:$A,お客様CD!$B:$B,"",0))</f>
        <v/>
      </c>
    </row>
    <row r="636" spans="3:3" x14ac:dyDescent="0.4">
      <c r="C636" s="113" t="str">
        <f>IF(B636="","",_xlfn.XLOOKUP(B636,お客様CD!$A:$A,お客様CD!$B:$B,"",0))</f>
        <v/>
      </c>
    </row>
    <row r="637" spans="3:3" x14ac:dyDescent="0.4">
      <c r="C637" s="113" t="str">
        <f>IF(B637="","",_xlfn.XLOOKUP(B637,お客様CD!$A:$A,お客様CD!$B:$B,"",0))</f>
        <v/>
      </c>
    </row>
    <row r="638" spans="3:3" x14ac:dyDescent="0.4">
      <c r="C638" s="113" t="str">
        <f>IF(B638="","",_xlfn.XLOOKUP(B638,お客様CD!$A:$A,お客様CD!$B:$B,"",0))</f>
        <v/>
      </c>
    </row>
    <row r="639" spans="3:3" x14ac:dyDescent="0.4">
      <c r="C639" s="113" t="str">
        <f>IF(B639="","",_xlfn.XLOOKUP(B639,お客様CD!$A:$A,お客様CD!$B:$B,"",0))</f>
        <v/>
      </c>
    </row>
    <row r="640" spans="3:3" x14ac:dyDescent="0.4">
      <c r="C640" s="113" t="str">
        <f>IF(B640="","",_xlfn.XLOOKUP(B640,お客様CD!$A:$A,お客様CD!$B:$B,"",0))</f>
        <v/>
      </c>
    </row>
    <row r="641" spans="3:3" x14ac:dyDescent="0.4">
      <c r="C641" s="113" t="str">
        <f>IF(B641="","",_xlfn.XLOOKUP(B641,お客様CD!$A:$A,お客様CD!$B:$B,"",0))</f>
        <v/>
      </c>
    </row>
    <row r="642" spans="3:3" x14ac:dyDescent="0.4">
      <c r="C642" s="113" t="str">
        <f>IF(B642="","",_xlfn.XLOOKUP(B642,お客様CD!$A:$A,お客様CD!$B:$B,"",0))</f>
        <v/>
      </c>
    </row>
    <row r="643" spans="3:3" x14ac:dyDescent="0.4">
      <c r="C643" s="113" t="str">
        <f>IF(B643="","",_xlfn.XLOOKUP(B643,お客様CD!$A:$A,お客様CD!$B:$B,"",0))</f>
        <v/>
      </c>
    </row>
    <row r="644" spans="3:3" x14ac:dyDescent="0.4">
      <c r="C644" s="113" t="str">
        <f>IF(B644="","",_xlfn.XLOOKUP(B644,お客様CD!$A:$A,お客様CD!$B:$B,"",0))</f>
        <v/>
      </c>
    </row>
    <row r="645" spans="3:3" x14ac:dyDescent="0.4">
      <c r="C645" s="113" t="str">
        <f>IF(B645="","",_xlfn.XLOOKUP(B645,お客様CD!$A:$A,お客様CD!$B:$B,"",0))</f>
        <v/>
      </c>
    </row>
    <row r="646" spans="3:3" x14ac:dyDescent="0.4">
      <c r="C646" s="113" t="str">
        <f>IF(B646="","",_xlfn.XLOOKUP(B646,お客様CD!$A:$A,お客様CD!$B:$B,"",0))</f>
        <v/>
      </c>
    </row>
    <row r="647" spans="3:3" x14ac:dyDescent="0.4">
      <c r="C647" s="113" t="str">
        <f>IF(B647="","",_xlfn.XLOOKUP(B647,お客様CD!$A:$A,お客様CD!$B:$B,"",0))</f>
        <v/>
      </c>
    </row>
    <row r="648" spans="3:3" x14ac:dyDescent="0.4">
      <c r="C648" s="113" t="str">
        <f>IF(B648="","",_xlfn.XLOOKUP(B648,お客様CD!$A:$A,お客様CD!$B:$B,"",0))</f>
        <v/>
      </c>
    </row>
    <row r="649" spans="3:3" x14ac:dyDescent="0.4">
      <c r="C649" s="113" t="str">
        <f>IF(B649="","",_xlfn.XLOOKUP(B649,お客様CD!$A:$A,お客様CD!$B:$B,"",0))</f>
        <v/>
      </c>
    </row>
    <row r="650" spans="3:3" x14ac:dyDescent="0.4">
      <c r="C650" s="113" t="str">
        <f>IF(B650="","",_xlfn.XLOOKUP(B650,お客様CD!$A:$A,お客様CD!$B:$B,"",0))</f>
        <v/>
      </c>
    </row>
    <row r="651" spans="3:3" x14ac:dyDescent="0.4">
      <c r="C651" s="113" t="str">
        <f>IF(B651="","",_xlfn.XLOOKUP(B651,お客様CD!$A:$A,お客様CD!$B:$B,"",0))</f>
        <v/>
      </c>
    </row>
    <row r="652" spans="3:3" x14ac:dyDescent="0.4">
      <c r="C652" s="113" t="str">
        <f>IF(B652="","",_xlfn.XLOOKUP(B652,お客様CD!$A:$A,お客様CD!$B:$B,"",0))</f>
        <v/>
      </c>
    </row>
    <row r="653" spans="3:3" x14ac:dyDescent="0.4">
      <c r="C653" s="113" t="str">
        <f>IF(B653="","",_xlfn.XLOOKUP(B653,お客様CD!$A:$A,お客様CD!$B:$B,"",0))</f>
        <v/>
      </c>
    </row>
    <row r="654" spans="3:3" x14ac:dyDescent="0.4">
      <c r="C654" s="113" t="str">
        <f>IF(B654="","",_xlfn.XLOOKUP(B654,お客様CD!$A:$A,お客様CD!$B:$B,"",0))</f>
        <v/>
      </c>
    </row>
    <row r="655" spans="3:3" x14ac:dyDescent="0.4">
      <c r="C655" s="113" t="str">
        <f>IF(B655="","",_xlfn.XLOOKUP(B655,お客様CD!$A:$A,お客様CD!$B:$B,"",0))</f>
        <v/>
      </c>
    </row>
    <row r="656" spans="3:3" x14ac:dyDescent="0.4">
      <c r="C656" s="113" t="str">
        <f>IF(B656="","",_xlfn.XLOOKUP(B656,お客様CD!$A:$A,お客様CD!$B:$B,"",0))</f>
        <v/>
      </c>
    </row>
    <row r="657" spans="3:3" x14ac:dyDescent="0.4">
      <c r="C657" s="113" t="str">
        <f>IF(B657="","",_xlfn.XLOOKUP(B657,お客様CD!$A:$A,お客様CD!$B:$B,"",0))</f>
        <v/>
      </c>
    </row>
    <row r="658" spans="3:3" x14ac:dyDescent="0.4">
      <c r="C658" s="113" t="str">
        <f>IF(B658="","",_xlfn.XLOOKUP(B658,お客様CD!$A:$A,お客様CD!$B:$B,"",0))</f>
        <v/>
      </c>
    </row>
    <row r="659" spans="3:3" x14ac:dyDescent="0.4">
      <c r="C659" s="113" t="str">
        <f>IF(B659="","",_xlfn.XLOOKUP(B659,お客様CD!$A:$A,お客様CD!$B:$B,"",0))</f>
        <v/>
      </c>
    </row>
    <row r="660" spans="3:3" x14ac:dyDescent="0.4">
      <c r="C660" s="113" t="str">
        <f>IF(B660="","",_xlfn.XLOOKUP(B660,お客様CD!$A:$A,お客様CD!$B:$B,"",0))</f>
        <v/>
      </c>
    </row>
    <row r="661" spans="3:3" x14ac:dyDescent="0.4">
      <c r="C661" s="113" t="str">
        <f>IF(B661="","",_xlfn.XLOOKUP(B661,お客様CD!$A:$A,お客様CD!$B:$B,"",0))</f>
        <v/>
      </c>
    </row>
    <row r="662" spans="3:3" x14ac:dyDescent="0.4">
      <c r="C662" s="113" t="str">
        <f>IF(B662="","",_xlfn.XLOOKUP(B662,お客様CD!$A:$A,お客様CD!$B:$B,"",0))</f>
        <v/>
      </c>
    </row>
    <row r="663" spans="3:3" x14ac:dyDescent="0.4">
      <c r="C663" s="113" t="str">
        <f>IF(B663="","",_xlfn.XLOOKUP(B663,お客様CD!$A:$A,お客様CD!$B:$B,"",0))</f>
        <v/>
      </c>
    </row>
    <row r="664" spans="3:3" x14ac:dyDescent="0.4">
      <c r="C664" s="113" t="str">
        <f>IF(B664="","",_xlfn.XLOOKUP(B664,お客様CD!$A:$A,お客様CD!$B:$B,"",0))</f>
        <v/>
      </c>
    </row>
    <row r="665" spans="3:3" x14ac:dyDescent="0.4">
      <c r="C665" s="113" t="str">
        <f>IF(B665="","",_xlfn.XLOOKUP(B665,お客様CD!$A:$A,お客様CD!$B:$B,"",0))</f>
        <v/>
      </c>
    </row>
    <row r="666" spans="3:3" x14ac:dyDescent="0.4">
      <c r="C666" s="113" t="str">
        <f>IF(B666="","",_xlfn.XLOOKUP(B666,お客様CD!$A:$A,お客様CD!$B:$B,"",0))</f>
        <v/>
      </c>
    </row>
    <row r="667" spans="3:3" x14ac:dyDescent="0.4">
      <c r="C667" s="113" t="str">
        <f>IF(B667="","",_xlfn.XLOOKUP(B667,お客様CD!$A:$A,お客様CD!$B:$B,"",0))</f>
        <v/>
      </c>
    </row>
    <row r="668" spans="3:3" x14ac:dyDescent="0.4">
      <c r="C668" s="113" t="str">
        <f>IF(B668="","",_xlfn.XLOOKUP(B668,お客様CD!$A:$A,お客様CD!$B:$B,"",0))</f>
        <v/>
      </c>
    </row>
    <row r="669" spans="3:3" x14ac:dyDescent="0.4">
      <c r="C669" s="113" t="str">
        <f>IF(B669="","",_xlfn.XLOOKUP(B669,お客様CD!$A:$A,お客様CD!$B:$B,"",0))</f>
        <v/>
      </c>
    </row>
    <row r="670" spans="3:3" x14ac:dyDescent="0.4">
      <c r="C670" s="113" t="str">
        <f>IF(B670="","",_xlfn.XLOOKUP(B670,お客様CD!$A:$A,お客様CD!$B:$B,"",0))</f>
        <v/>
      </c>
    </row>
    <row r="671" spans="3:3" x14ac:dyDescent="0.4">
      <c r="C671" s="113" t="str">
        <f>IF(B671="","",_xlfn.XLOOKUP(B671,お客様CD!$A:$A,お客様CD!$B:$B,"",0))</f>
        <v/>
      </c>
    </row>
    <row r="672" spans="3:3" x14ac:dyDescent="0.4">
      <c r="C672" s="113" t="str">
        <f>IF(B672="","",_xlfn.XLOOKUP(B672,お客様CD!$A:$A,お客様CD!$B:$B,"",0))</f>
        <v/>
      </c>
    </row>
    <row r="673" spans="3:3" x14ac:dyDescent="0.4">
      <c r="C673" s="113" t="str">
        <f>IF(B673="","",_xlfn.XLOOKUP(B673,お客様CD!$A:$A,お客様CD!$B:$B,"",0))</f>
        <v/>
      </c>
    </row>
    <row r="674" spans="3:3" x14ac:dyDescent="0.4">
      <c r="C674" s="113" t="str">
        <f>IF(B674="","",_xlfn.XLOOKUP(B674,お客様CD!$A:$A,お客様CD!$B:$B,"",0))</f>
        <v/>
      </c>
    </row>
    <row r="675" spans="3:3" x14ac:dyDescent="0.4">
      <c r="C675" s="113" t="str">
        <f>IF(B675="","",_xlfn.XLOOKUP(B675,お客様CD!$A:$A,お客様CD!$B:$B,"",0))</f>
        <v/>
      </c>
    </row>
    <row r="676" spans="3:3" x14ac:dyDescent="0.4">
      <c r="C676" s="113" t="str">
        <f>IF(B676="","",_xlfn.XLOOKUP(B676,お客様CD!$A:$A,お客様CD!$B:$B,"",0))</f>
        <v/>
      </c>
    </row>
    <row r="677" spans="3:3" x14ac:dyDescent="0.4">
      <c r="C677" s="113" t="str">
        <f>IF(B677="","",_xlfn.XLOOKUP(B677,お客様CD!$A:$A,お客様CD!$B:$B,"",0))</f>
        <v/>
      </c>
    </row>
    <row r="678" spans="3:3" x14ac:dyDescent="0.4">
      <c r="C678" s="113" t="str">
        <f>IF(B678="","",_xlfn.XLOOKUP(B678,お客様CD!$A:$A,お客様CD!$B:$B,"",0))</f>
        <v/>
      </c>
    </row>
    <row r="679" spans="3:3" x14ac:dyDescent="0.4">
      <c r="C679" s="113" t="str">
        <f>IF(B679="","",_xlfn.XLOOKUP(B679,お客様CD!$A:$A,お客様CD!$B:$B,"",0))</f>
        <v/>
      </c>
    </row>
    <row r="680" spans="3:3" x14ac:dyDescent="0.4">
      <c r="C680" s="113" t="str">
        <f>IF(B680="","",_xlfn.XLOOKUP(B680,お客様CD!$A:$A,お客様CD!$B:$B,"",0))</f>
        <v/>
      </c>
    </row>
    <row r="681" spans="3:3" x14ac:dyDescent="0.4">
      <c r="C681" s="113" t="str">
        <f>IF(B681="","",_xlfn.XLOOKUP(B681,お客様CD!$A:$A,お客様CD!$B:$B,"",0))</f>
        <v/>
      </c>
    </row>
    <row r="682" spans="3:3" x14ac:dyDescent="0.4">
      <c r="C682" s="113" t="str">
        <f>IF(B682="","",_xlfn.XLOOKUP(B682,お客様CD!$A:$A,お客様CD!$B:$B,"",0))</f>
        <v/>
      </c>
    </row>
    <row r="683" spans="3:3" x14ac:dyDescent="0.4">
      <c r="C683" s="113" t="str">
        <f>IF(B683="","",_xlfn.XLOOKUP(B683,お客様CD!$A:$A,お客様CD!$B:$B,"",0))</f>
        <v/>
      </c>
    </row>
    <row r="684" spans="3:3" x14ac:dyDescent="0.4">
      <c r="C684" s="113" t="str">
        <f>IF(B684="","",_xlfn.XLOOKUP(B684,お客様CD!$A:$A,お客様CD!$B:$B,"",0))</f>
        <v/>
      </c>
    </row>
    <row r="685" spans="3:3" x14ac:dyDescent="0.4">
      <c r="C685" s="113" t="str">
        <f>IF(B685="","",_xlfn.XLOOKUP(B685,お客様CD!$A:$A,お客様CD!$B:$B,"",0))</f>
        <v/>
      </c>
    </row>
    <row r="686" spans="3:3" x14ac:dyDescent="0.4">
      <c r="C686" s="113" t="str">
        <f>IF(B686="","",_xlfn.XLOOKUP(B686,お客様CD!$A:$A,お客様CD!$B:$B,"",0))</f>
        <v/>
      </c>
    </row>
    <row r="687" spans="3:3" x14ac:dyDescent="0.4">
      <c r="C687" s="113" t="str">
        <f>IF(B687="","",_xlfn.XLOOKUP(B687,お客様CD!$A:$A,お客様CD!$B:$B,"",0))</f>
        <v/>
      </c>
    </row>
    <row r="688" spans="3:3" x14ac:dyDescent="0.4">
      <c r="C688" s="113" t="str">
        <f>IF(B688="","",_xlfn.XLOOKUP(B688,お客様CD!$A:$A,お客様CD!$B:$B,"",0))</f>
        <v/>
      </c>
    </row>
    <row r="689" spans="3:3" x14ac:dyDescent="0.4">
      <c r="C689" s="113" t="str">
        <f>IF(B689="","",_xlfn.XLOOKUP(B689,お客様CD!$A:$A,お客様CD!$B:$B,"",0))</f>
        <v/>
      </c>
    </row>
    <row r="690" spans="3:3" x14ac:dyDescent="0.4">
      <c r="C690" s="113" t="str">
        <f>IF(B690="","",_xlfn.XLOOKUP(B690,お客様CD!$A:$A,お客様CD!$B:$B,"",0))</f>
        <v/>
      </c>
    </row>
    <row r="691" spans="3:3" x14ac:dyDescent="0.4">
      <c r="C691" s="113" t="str">
        <f>IF(B691="","",_xlfn.XLOOKUP(B691,お客様CD!$A:$A,お客様CD!$B:$B,"",0))</f>
        <v/>
      </c>
    </row>
    <row r="692" spans="3:3" x14ac:dyDescent="0.4">
      <c r="C692" s="113" t="str">
        <f>IF(B692="","",_xlfn.XLOOKUP(B692,お客様CD!$A:$A,お客様CD!$B:$B,"",0))</f>
        <v/>
      </c>
    </row>
    <row r="693" spans="3:3" x14ac:dyDescent="0.4">
      <c r="C693" s="113" t="str">
        <f>IF(B693="","",_xlfn.XLOOKUP(B693,お客様CD!$A:$A,お客様CD!$B:$B,"",0))</f>
        <v/>
      </c>
    </row>
    <row r="694" spans="3:3" x14ac:dyDescent="0.4">
      <c r="C694" s="113" t="str">
        <f>IF(B694="","",_xlfn.XLOOKUP(B694,お客様CD!$A:$A,お客様CD!$B:$B,"",0))</f>
        <v/>
      </c>
    </row>
    <row r="695" spans="3:3" x14ac:dyDescent="0.4">
      <c r="C695" s="113" t="str">
        <f>IF(B695="","",_xlfn.XLOOKUP(B695,お客様CD!$A:$A,お客様CD!$B:$B,"",0))</f>
        <v/>
      </c>
    </row>
    <row r="696" spans="3:3" x14ac:dyDescent="0.4">
      <c r="C696" s="113" t="str">
        <f>IF(B696="","",_xlfn.XLOOKUP(B696,お客様CD!$A:$A,お客様CD!$B:$B,"",0))</f>
        <v/>
      </c>
    </row>
    <row r="697" spans="3:3" x14ac:dyDescent="0.4">
      <c r="C697" s="113" t="str">
        <f>IF(B697="","",_xlfn.XLOOKUP(B697,お客様CD!$A:$A,お客様CD!$B:$B,"",0))</f>
        <v/>
      </c>
    </row>
    <row r="698" spans="3:3" x14ac:dyDescent="0.4">
      <c r="C698" s="113" t="str">
        <f>IF(B698="","",_xlfn.XLOOKUP(B698,お客様CD!$A:$A,お客様CD!$B:$B,"",0))</f>
        <v/>
      </c>
    </row>
    <row r="699" spans="3:3" x14ac:dyDescent="0.4">
      <c r="C699" s="113" t="str">
        <f>IF(B699="","",_xlfn.XLOOKUP(B699,お客様CD!$A:$A,お客様CD!$B:$B,"",0))</f>
        <v/>
      </c>
    </row>
    <row r="700" spans="3:3" x14ac:dyDescent="0.4">
      <c r="C700" s="113" t="str">
        <f>IF(B700="","",_xlfn.XLOOKUP(B700,お客様CD!$A:$A,お客様CD!$B:$B,"",0))</f>
        <v/>
      </c>
    </row>
    <row r="701" spans="3:3" x14ac:dyDescent="0.4">
      <c r="C701" s="113" t="str">
        <f>IF(B701="","",_xlfn.XLOOKUP(B701,お客様CD!$A:$A,お客様CD!$B:$B,"",0))</f>
        <v/>
      </c>
    </row>
    <row r="702" spans="3:3" x14ac:dyDescent="0.4">
      <c r="C702" s="113" t="str">
        <f>IF(B702="","",_xlfn.XLOOKUP(B702,お客様CD!$A:$A,お客様CD!$B:$B,"",0))</f>
        <v/>
      </c>
    </row>
    <row r="703" spans="3:3" x14ac:dyDescent="0.4">
      <c r="C703" s="113" t="str">
        <f>IF(B703="","",_xlfn.XLOOKUP(B703,お客様CD!$A:$A,お客様CD!$B:$B,"",0))</f>
        <v/>
      </c>
    </row>
    <row r="704" spans="3:3" x14ac:dyDescent="0.4">
      <c r="C704" s="113" t="str">
        <f>IF(B704="","",_xlfn.XLOOKUP(B704,お客様CD!$A:$A,お客様CD!$B:$B,"",0))</f>
        <v/>
      </c>
    </row>
    <row r="705" spans="3:3" x14ac:dyDescent="0.4">
      <c r="C705" s="113" t="str">
        <f>IF(B705="","",_xlfn.XLOOKUP(B705,お客様CD!$A:$A,お客様CD!$B:$B,"",0))</f>
        <v/>
      </c>
    </row>
    <row r="706" spans="3:3" x14ac:dyDescent="0.4">
      <c r="C706" s="113" t="str">
        <f>IF(B706="","",_xlfn.XLOOKUP(B706,お客様CD!$A:$A,お客様CD!$B:$B,"",0))</f>
        <v/>
      </c>
    </row>
    <row r="707" spans="3:3" x14ac:dyDescent="0.4">
      <c r="C707" s="113" t="str">
        <f>IF(B707="","",_xlfn.XLOOKUP(B707,お客様CD!$A:$A,お客様CD!$B:$B,"",0))</f>
        <v/>
      </c>
    </row>
    <row r="708" spans="3:3" x14ac:dyDescent="0.4">
      <c r="C708" s="113" t="str">
        <f>IF(B708="","",_xlfn.XLOOKUP(B708,お客様CD!$A:$A,お客様CD!$B:$B,"",0))</f>
        <v/>
      </c>
    </row>
    <row r="709" spans="3:3" x14ac:dyDescent="0.4">
      <c r="C709" s="113" t="str">
        <f>IF(B709="","",_xlfn.XLOOKUP(B709,お客様CD!$A:$A,お客様CD!$B:$B,"",0))</f>
        <v/>
      </c>
    </row>
    <row r="710" spans="3:3" x14ac:dyDescent="0.4">
      <c r="C710" s="113" t="str">
        <f>IF(B710="","",_xlfn.XLOOKUP(B710,お客様CD!$A:$A,お客様CD!$B:$B,"",0))</f>
        <v/>
      </c>
    </row>
    <row r="711" spans="3:3" x14ac:dyDescent="0.4">
      <c r="C711" s="113" t="str">
        <f>IF(B711="","",_xlfn.XLOOKUP(B711,お客様CD!$A:$A,お客様CD!$B:$B,"",0))</f>
        <v/>
      </c>
    </row>
    <row r="712" spans="3:3" x14ac:dyDescent="0.4">
      <c r="C712" s="113" t="str">
        <f>IF(B712="","",_xlfn.XLOOKUP(B712,お客様CD!$A:$A,お客様CD!$B:$B,"",0))</f>
        <v/>
      </c>
    </row>
    <row r="713" spans="3:3" x14ac:dyDescent="0.4">
      <c r="C713" s="113" t="str">
        <f>IF(B713="","",_xlfn.XLOOKUP(B713,お客様CD!$A:$A,お客様CD!$B:$B,"",0))</f>
        <v/>
      </c>
    </row>
    <row r="714" spans="3:3" x14ac:dyDescent="0.4">
      <c r="C714" s="113" t="str">
        <f>IF(B714="","",_xlfn.XLOOKUP(B714,お客様CD!$A:$A,お客様CD!$B:$B,"",0))</f>
        <v/>
      </c>
    </row>
    <row r="715" spans="3:3" x14ac:dyDescent="0.4">
      <c r="C715" s="113" t="str">
        <f>IF(B715="","",_xlfn.XLOOKUP(B715,お客様CD!$A:$A,お客様CD!$B:$B,"",0))</f>
        <v/>
      </c>
    </row>
    <row r="716" spans="3:3" x14ac:dyDescent="0.4">
      <c r="C716" s="113" t="str">
        <f>IF(B716="","",_xlfn.XLOOKUP(B716,お客様CD!$A:$A,お客様CD!$B:$B,"",0))</f>
        <v/>
      </c>
    </row>
    <row r="717" spans="3:3" x14ac:dyDescent="0.4">
      <c r="C717" s="113" t="str">
        <f>IF(B717="","",_xlfn.XLOOKUP(B717,お客様CD!$A:$A,お客様CD!$B:$B,"",0))</f>
        <v/>
      </c>
    </row>
    <row r="718" spans="3:3" x14ac:dyDescent="0.4">
      <c r="C718" s="113" t="str">
        <f>IF(B718="","",_xlfn.XLOOKUP(B718,お客様CD!$A:$A,お客様CD!$B:$B,"",0))</f>
        <v/>
      </c>
    </row>
    <row r="719" spans="3:3" x14ac:dyDescent="0.4">
      <c r="C719" s="113" t="str">
        <f>IF(B719="","",_xlfn.XLOOKUP(B719,お客様CD!$A:$A,お客様CD!$B:$B,"",0))</f>
        <v/>
      </c>
    </row>
    <row r="720" spans="3:3" x14ac:dyDescent="0.4">
      <c r="C720" s="113" t="str">
        <f>IF(B720="","",_xlfn.XLOOKUP(B720,お客様CD!$A:$A,お客様CD!$B:$B,"",0))</f>
        <v/>
      </c>
    </row>
    <row r="721" spans="3:3" x14ac:dyDescent="0.4">
      <c r="C721" s="113" t="str">
        <f>IF(B721="","",_xlfn.XLOOKUP(B721,お客様CD!$A:$A,お客様CD!$B:$B,"",0))</f>
        <v/>
      </c>
    </row>
    <row r="722" spans="3:3" x14ac:dyDescent="0.4">
      <c r="C722" s="113" t="str">
        <f>IF(B722="","",_xlfn.XLOOKUP(B722,お客様CD!$A:$A,お客様CD!$B:$B,"",0))</f>
        <v/>
      </c>
    </row>
    <row r="723" spans="3:3" x14ac:dyDescent="0.4">
      <c r="C723" s="113" t="str">
        <f>IF(B723="","",_xlfn.XLOOKUP(B723,お客様CD!$A:$A,お客様CD!$B:$B,"",0))</f>
        <v/>
      </c>
    </row>
    <row r="724" spans="3:3" x14ac:dyDescent="0.4">
      <c r="C724" s="113" t="str">
        <f>IF(B724="","",_xlfn.XLOOKUP(B724,お客様CD!$A:$A,お客様CD!$B:$B,"",0))</f>
        <v/>
      </c>
    </row>
    <row r="725" spans="3:3" x14ac:dyDescent="0.4">
      <c r="C725" s="113" t="str">
        <f>IF(B725="","",_xlfn.XLOOKUP(B725,お客様CD!$A:$A,お客様CD!$B:$B,"",0))</f>
        <v/>
      </c>
    </row>
    <row r="726" spans="3:3" x14ac:dyDescent="0.4">
      <c r="C726" s="113" t="str">
        <f>IF(B726="","",_xlfn.XLOOKUP(B726,お客様CD!$A:$A,お客様CD!$B:$B,"",0))</f>
        <v/>
      </c>
    </row>
    <row r="727" spans="3:3" x14ac:dyDescent="0.4">
      <c r="C727" s="113" t="str">
        <f>IF(B727="","",_xlfn.XLOOKUP(B727,お客様CD!$A:$A,お客様CD!$B:$B,"",0))</f>
        <v/>
      </c>
    </row>
    <row r="728" spans="3:3" x14ac:dyDescent="0.4">
      <c r="C728" s="113" t="str">
        <f>IF(B728="","",_xlfn.XLOOKUP(B728,お客様CD!$A:$A,お客様CD!$B:$B,"",0))</f>
        <v/>
      </c>
    </row>
    <row r="729" spans="3:3" x14ac:dyDescent="0.4">
      <c r="C729" s="113" t="str">
        <f>IF(B729="","",_xlfn.XLOOKUP(B729,お客様CD!$A:$A,お客様CD!$B:$B,"",0))</f>
        <v/>
      </c>
    </row>
    <row r="730" spans="3:3" x14ac:dyDescent="0.4">
      <c r="C730" s="113" t="str">
        <f>IF(B730="","",_xlfn.XLOOKUP(B730,お客様CD!$A:$A,お客様CD!$B:$B,"",0))</f>
        <v/>
      </c>
    </row>
    <row r="731" spans="3:3" x14ac:dyDescent="0.4">
      <c r="C731" s="113" t="str">
        <f>IF(B731="","",_xlfn.XLOOKUP(B731,お客様CD!$A:$A,お客様CD!$B:$B,"",0))</f>
        <v/>
      </c>
    </row>
    <row r="732" spans="3:3" x14ac:dyDescent="0.4">
      <c r="C732" s="113" t="str">
        <f>IF(B732="","",_xlfn.XLOOKUP(B732,お客様CD!$A:$A,お客様CD!$B:$B,"",0))</f>
        <v/>
      </c>
    </row>
    <row r="733" spans="3:3" x14ac:dyDescent="0.4">
      <c r="C733" s="113" t="str">
        <f>IF(B733="","",_xlfn.XLOOKUP(B733,お客様CD!$A:$A,お客様CD!$B:$B,"",0))</f>
        <v/>
      </c>
    </row>
    <row r="734" spans="3:3" x14ac:dyDescent="0.4">
      <c r="C734" s="113" t="str">
        <f>IF(B734="","",_xlfn.XLOOKUP(B734,お客様CD!$A:$A,お客様CD!$B:$B,"",0))</f>
        <v/>
      </c>
    </row>
    <row r="735" spans="3:3" x14ac:dyDescent="0.4">
      <c r="C735" s="113" t="str">
        <f>IF(B735="","",_xlfn.XLOOKUP(B735,お客様CD!$A:$A,お客様CD!$B:$B,"",0))</f>
        <v/>
      </c>
    </row>
    <row r="736" spans="3:3" x14ac:dyDescent="0.4">
      <c r="C736" s="113" t="str">
        <f>IF(B736="","",_xlfn.XLOOKUP(B736,お客様CD!$A:$A,お客様CD!$B:$B,"",0))</f>
        <v/>
      </c>
    </row>
    <row r="737" spans="3:3" x14ac:dyDescent="0.4">
      <c r="C737" s="113" t="str">
        <f>IF(B737="","",_xlfn.XLOOKUP(B737,お客様CD!$A:$A,お客様CD!$B:$B,"",0))</f>
        <v/>
      </c>
    </row>
    <row r="738" spans="3:3" x14ac:dyDescent="0.4">
      <c r="C738" s="113" t="str">
        <f>IF(B738="","",_xlfn.XLOOKUP(B738,お客様CD!$A:$A,お客様CD!$B:$B,"",0))</f>
        <v/>
      </c>
    </row>
    <row r="739" spans="3:3" x14ac:dyDescent="0.4">
      <c r="C739" s="113" t="str">
        <f>IF(B739="","",_xlfn.XLOOKUP(B739,お客様CD!$A:$A,お客様CD!$B:$B,"",0))</f>
        <v/>
      </c>
    </row>
    <row r="740" spans="3:3" x14ac:dyDescent="0.4">
      <c r="C740" s="113" t="str">
        <f>IF(B740="","",_xlfn.XLOOKUP(B740,お客様CD!$A:$A,お客様CD!$B:$B,"",0))</f>
        <v/>
      </c>
    </row>
    <row r="741" spans="3:3" x14ac:dyDescent="0.4">
      <c r="C741" s="113" t="str">
        <f>IF(B741="","",_xlfn.XLOOKUP(B741,お客様CD!$A:$A,お客様CD!$B:$B,"",0))</f>
        <v/>
      </c>
    </row>
    <row r="742" spans="3:3" x14ac:dyDescent="0.4">
      <c r="C742" s="113" t="str">
        <f>IF(B742="","",_xlfn.XLOOKUP(B742,お客様CD!$A:$A,お客様CD!$B:$B,"",0))</f>
        <v/>
      </c>
    </row>
    <row r="743" spans="3:3" x14ac:dyDescent="0.4">
      <c r="C743" s="113" t="str">
        <f>IF(B743="","",_xlfn.XLOOKUP(B743,お客様CD!$A:$A,お客様CD!$B:$B,"",0))</f>
        <v/>
      </c>
    </row>
    <row r="744" spans="3:3" x14ac:dyDescent="0.4">
      <c r="C744" s="113" t="str">
        <f>IF(B744="","",_xlfn.XLOOKUP(B744,お客様CD!$A:$A,お客様CD!$B:$B,"",0))</f>
        <v/>
      </c>
    </row>
    <row r="745" spans="3:3" x14ac:dyDescent="0.4">
      <c r="C745" s="113" t="str">
        <f>IF(B745="","",_xlfn.XLOOKUP(B745,お客様CD!$A:$A,お客様CD!$B:$B,"",0))</f>
        <v/>
      </c>
    </row>
    <row r="746" spans="3:3" x14ac:dyDescent="0.4">
      <c r="C746" s="113" t="str">
        <f>IF(B746="","",_xlfn.XLOOKUP(B746,お客様CD!$A:$A,お客様CD!$B:$B,"",0))</f>
        <v/>
      </c>
    </row>
    <row r="747" spans="3:3" x14ac:dyDescent="0.4">
      <c r="C747" s="113" t="str">
        <f>IF(B747="","",_xlfn.XLOOKUP(B747,お客様CD!$A:$A,お客様CD!$B:$B,"",0))</f>
        <v/>
      </c>
    </row>
    <row r="748" spans="3:3" x14ac:dyDescent="0.4">
      <c r="C748" s="113" t="str">
        <f>IF(B748="","",_xlfn.XLOOKUP(B748,お客様CD!$A:$A,お客様CD!$B:$B,"",0))</f>
        <v/>
      </c>
    </row>
    <row r="749" spans="3:3" x14ac:dyDescent="0.4">
      <c r="C749" s="113" t="str">
        <f>IF(B749="","",_xlfn.XLOOKUP(B749,お客様CD!$A:$A,お客様CD!$B:$B,"",0))</f>
        <v/>
      </c>
    </row>
    <row r="750" spans="3:3" x14ac:dyDescent="0.4">
      <c r="C750" s="113" t="str">
        <f>IF(B750="","",_xlfn.XLOOKUP(B750,お客様CD!$A:$A,お客様CD!$B:$B,"",0))</f>
        <v/>
      </c>
    </row>
    <row r="751" spans="3:3" x14ac:dyDescent="0.4">
      <c r="C751" s="113" t="str">
        <f>IF(B751="","",_xlfn.XLOOKUP(B751,お客様CD!$A:$A,お客様CD!$B:$B,"",0))</f>
        <v/>
      </c>
    </row>
    <row r="752" spans="3:3" x14ac:dyDescent="0.4">
      <c r="C752" s="113" t="str">
        <f>IF(B752="","",_xlfn.XLOOKUP(B752,お客様CD!$A:$A,お客様CD!$B:$B,"",0))</f>
        <v/>
      </c>
    </row>
    <row r="753" spans="3:3" x14ac:dyDescent="0.4">
      <c r="C753" s="113" t="str">
        <f>IF(B753="","",_xlfn.XLOOKUP(B753,お客様CD!$A:$A,お客様CD!$B:$B,"",0))</f>
        <v/>
      </c>
    </row>
    <row r="754" spans="3:3" x14ac:dyDescent="0.4">
      <c r="C754" s="113" t="str">
        <f>IF(B754="","",_xlfn.XLOOKUP(B754,お客様CD!$A:$A,お客様CD!$B:$B,"",0))</f>
        <v/>
      </c>
    </row>
    <row r="755" spans="3:3" x14ac:dyDescent="0.4">
      <c r="C755" s="113" t="str">
        <f>IF(B755="","",_xlfn.XLOOKUP(B755,お客様CD!$A:$A,お客様CD!$B:$B,"",0))</f>
        <v/>
      </c>
    </row>
    <row r="756" spans="3:3" x14ac:dyDescent="0.4">
      <c r="C756" s="113" t="str">
        <f>IF(B756="","",_xlfn.XLOOKUP(B756,お客様CD!$A:$A,お客様CD!$B:$B,"",0))</f>
        <v/>
      </c>
    </row>
    <row r="757" spans="3:3" x14ac:dyDescent="0.4">
      <c r="C757" s="113" t="str">
        <f>IF(B757="","",_xlfn.XLOOKUP(B757,お客様CD!$A:$A,お客様CD!$B:$B,"",0))</f>
        <v/>
      </c>
    </row>
    <row r="758" spans="3:3" x14ac:dyDescent="0.4">
      <c r="C758" s="113" t="str">
        <f>IF(B758="","",_xlfn.XLOOKUP(B758,お客様CD!$A:$A,お客様CD!$B:$B,"",0))</f>
        <v/>
      </c>
    </row>
    <row r="759" spans="3:3" x14ac:dyDescent="0.4">
      <c r="C759" s="113" t="str">
        <f>IF(B759="","",_xlfn.XLOOKUP(B759,お客様CD!$A:$A,お客様CD!$B:$B,"",0))</f>
        <v/>
      </c>
    </row>
    <row r="760" spans="3:3" x14ac:dyDescent="0.4">
      <c r="C760" s="113" t="str">
        <f>IF(B760="","",_xlfn.XLOOKUP(B760,お客様CD!$A:$A,お客様CD!$B:$B,"",0))</f>
        <v/>
      </c>
    </row>
    <row r="761" spans="3:3" x14ac:dyDescent="0.4">
      <c r="C761" s="113" t="str">
        <f>IF(B761="","",_xlfn.XLOOKUP(B761,お客様CD!$A:$A,お客様CD!$B:$B,"",0))</f>
        <v/>
      </c>
    </row>
    <row r="762" spans="3:3" x14ac:dyDescent="0.4">
      <c r="C762" s="113" t="str">
        <f>IF(B762="","",_xlfn.XLOOKUP(B762,お客様CD!$A:$A,お客様CD!$B:$B,"",0))</f>
        <v/>
      </c>
    </row>
    <row r="763" spans="3:3" x14ac:dyDescent="0.4">
      <c r="C763" s="113" t="str">
        <f>IF(B763="","",_xlfn.XLOOKUP(B763,お客様CD!$A:$A,お客様CD!$B:$B,"",0))</f>
        <v/>
      </c>
    </row>
    <row r="764" spans="3:3" x14ac:dyDescent="0.4">
      <c r="C764" s="113" t="str">
        <f>IF(B764="","",_xlfn.XLOOKUP(B764,お客様CD!$A:$A,お客様CD!$B:$B,"",0))</f>
        <v/>
      </c>
    </row>
    <row r="765" spans="3:3" x14ac:dyDescent="0.4">
      <c r="C765" s="113" t="str">
        <f>IF(B765="","",_xlfn.XLOOKUP(B765,お客様CD!$A:$A,お客様CD!$B:$B,"",0))</f>
        <v/>
      </c>
    </row>
    <row r="766" spans="3:3" x14ac:dyDescent="0.4">
      <c r="C766" s="113" t="str">
        <f>IF(B766="","",_xlfn.XLOOKUP(B766,お客様CD!$A:$A,お客様CD!$B:$B,"",0))</f>
        <v/>
      </c>
    </row>
    <row r="767" spans="3:3" x14ac:dyDescent="0.4">
      <c r="C767" s="113" t="str">
        <f>IF(B767="","",_xlfn.XLOOKUP(B767,お客様CD!$A:$A,お客様CD!$B:$B,"",0))</f>
        <v/>
      </c>
    </row>
    <row r="768" spans="3:3" x14ac:dyDescent="0.4">
      <c r="C768" s="113" t="str">
        <f>IF(B768="","",_xlfn.XLOOKUP(B768,お客様CD!$A:$A,お客様CD!$B:$B,"",0))</f>
        <v/>
      </c>
    </row>
    <row r="769" spans="3:3" x14ac:dyDescent="0.4">
      <c r="C769" s="113" t="str">
        <f>IF(B769="","",_xlfn.XLOOKUP(B769,お客様CD!$A:$A,お客様CD!$B:$B,"",0))</f>
        <v/>
      </c>
    </row>
    <row r="770" spans="3:3" x14ac:dyDescent="0.4">
      <c r="C770" s="113" t="str">
        <f>IF(B770="","",_xlfn.XLOOKUP(B770,お客様CD!$A:$A,お客様CD!$B:$B,"",0))</f>
        <v/>
      </c>
    </row>
    <row r="771" spans="3:3" x14ac:dyDescent="0.4">
      <c r="C771" s="113" t="str">
        <f>IF(B771="","",_xlfn.XLOOKUP(B771,お客様CD!$A:$A,お客様CD!$B:$B,"",0))</f>
        <v/>
      </c>
    </row>
    <row r="772" spans="3:3" x14ac:dyDescent="0.4">
      <c r="C772" s="113" t="str">
        <f>IF(B772="","",_xlfn.XLOOKUP(B772,お客様CD!$A:$A,お客様CD!$B:$B,"",0))</f>
        <v/>
      </c>
    </row>
    <row r="773" spans="3:3" x14ac:dyDescent="0.4">
      <c r="C773" s="113" t="str">
        <f>IF(B773="","",_xlfn.XLOOKUP(B773,お客様CD!$A:$A,お客様CD!$B:$B,"",0))</f>
        <v/>
      </c>
    </row>
    <row r="774" spans="3:3" x14ac:dyDescent="0.4">
      <c r="C774" s="113" t="str">
        <f>IF(B774="","",_xlfn.XLOOKUP(B774,お客様CD!$A:$A,お客様CD!$B:$B,"",0))</f>
        <v/>
      </c>
    </row>
    <row r="775" spans="3:3" x14ac:dyDescent="0.4">
      <c r="C775" s="113" t="str">
        <f>IF(B775="","",_xlfn.XLOOKUP(B775,お客様CD!$A:$A,お客様CD!$B:$B,"",0))</f>
        <v/>
      </c>
    </row>
    <row r="776" spans="3:3" x14ac:dyDescent="0.4">
      <c r="C776" s="113" t="str">
        <f>IF(B776="","",_xlfn.XLOOKUP(B776,お客様CD!$A:$A,お客様CD!$B:$B,"",0))</f>
        <v/>
      </c>
    </row>
    <row r="777" spans="3:3" x14ac:dyDescent="0.4">
      <c r="C777" s="113" t="str">
        <f>IF(B777="","",_xlfn.XLOOKUP(B777,お客様CD!$A:$A,お客様CD!$B:$B,"",0))</f>
        <v/>
      </c>
    </row>
    <row r="778" spans="3:3" x14ac:dyDescent="0.4">
      <c r="C778" s="113" t="str">
        <f>IF(B778="","",_xlfn.XLOOKUP(B778,お客様CD!$A:$A,お客様CD!$B:$B,"",0))</f>
        <v/>
      </c>
    </row>
    <row r="779" spans="3:3" x14ac:dyDescent="0.4">
      <c r="C779" s="113" t="str">
        <f>IF(B779="","",_xlfn.XLOOKUP(B779,お客様CD!$A:$A,お客様CD!$B:$B,"",0))</f>
        <v/>
      </c>
    </row>
    <row r="780" spans="3:3" x14ac:dyDescent="0.4">
      <c r="C780" s="113" t="str">
        <f>IF(B780="","",_xlfn.XLOOKUP(B780,お客様CD!$A:$A,お客様CD!$B:$B,"",0))</f>
        <v/>
      </c>
    </row>
    <row r="781" spans="3:3" x14ac:dyDescent="0.4">
      <c r="C781" s="113" t="str">
        <f>IF(B781="","",_xlfn.XLOOKUP(B781,お客様CD!$A:$A,お客様CD!$B:$B,"",0))</f>
        <v/>
      </c>
    </row>
    <row r="782" spans="3:3" x14ac:dyDescent="0.4">
      <c r="C782" s="113" t="str">
        <f>IF(B782="","",_xlfn.XLOOKUP(B782,お客様CD!$A:$A,お客様CD!$B:$B,"",0))</f>
        <v/>
      </c>
    </row>
    <row r="783" spans="3:3" x14ac:dyDescent="0.4">
      <c r="C783" s="113" t="str">
        <f>IF(B783="","",_xlfn.XLOOKUP(B783,お客様CD!$A:$A,お客様CD!$B:$B,"",0))</f>
        <v/>
      </c>
    </row>
    <row r="784" spans="3:3" x14ac:dyDescent="0.4">
      <c r="C784" s="113" t="str">
        <f>IF(B784="","",_xlfn.XLOOKUP(B784,お客様CD!$A:$A,お客様CD!$B:$B,"",0))</f>
        <v/>
      </c>
    </row>
    <row r="785" spans="3:3" x14ac:dyDescent="0.4">
      <c r="C785" s="113" t="str">
        <f>IF(B785="","",_xlfn.XLOOKUP(B785,お客様CD!$A:$A,お客様CD!$B:$B,"",0))</f>
        <v/>
      </c>
    </row>
    <row r="786" spans="3:3" x14ac:dyDescent="0.4">
      <c r="C786" s="113" t="str">
        <f>IF(B786="","",_xlfn.XLOOKUP(B786,お客様CD!$A:$A,お客様CD!$B:$B,"",0))</f>
        <v/>
      </c>
    </row>
    <row r="787" spans="3:3" x14ac:dyDescent="0.4">
      <c r="C787" s="113" t="str">
        <f>IF(B787="","",_xlfn.XLOOKUP(B787,お客様CD!$A:$A,お客様CD!$B:$B,"",0))</f>
        <v/>
      </c>
    </row>
    <row r="788" spans="3:3" x14ac:dyDescent="0.4">
      <c r="C788" s="113" t="str">
        <f>IF(B788="","",_xlfn.XLOOKUP(B788,お客様CD!$A:$A,お客様CD!$B:$B,"",0))</f>
        <v/>
      </c>
    </row>
    <row r="789" spans="3:3" x14ac:dyDescent="0.4">
      <c r="C789" s="113" t="str">
        <f>IF(B789="","",_xlfn.XLOOKUP(B789,お客様CD!$A:$A,お客様CD!$B:$B,"",0))</f>
        <v/>
      </c>
    </row>
    <row r="790" spans="3:3" x14ac:dyDescent="0.4">
      <c r="C790" s="113" t="str">
        <f>IF(B790="","",_xlfn.XLOOKUP(B790,お客様CD!$A:$A,お客様CD!$B:$B,"",0))</f>
        <v/>
      </c>
    </row>
    <row r="791" spans="3:3" x14ac:dyDescent="0.4">
      <c r="C791" s="113" t="str">
        <f>IF(B791="","",_xlfn.XLOOKUP(B791,お客様CD!$A:$A,お客様CD!$B:$B,"",0))</f>
        <v/>
      </c>
    </row>
    <row r="792" spans="3:3" x14ac:dyDescent="0.4">
      <c r="C792" s="113" t="str">
        <f>IF(B792="","",_xlfn.XLOOKUP(B792,お客様CD!$A:$A,お客様CD!$B:$B,"",0))</f>
        <v/>
      </c>
    </row>
    <row r="793" spans="3:3" x14ac:dyDescent="0.4">
      <c r="C793" s="113" t="str">
        <f>IF(B793="","",_xlfn.XLOOKUP(B793,お客様CD!$A:$A,お客様CD!$B:$B,"",0))</f>
        <v/>
      </c>
    </row>
    <row r="794" spans="3:3" x14ac:dyDescent="0.4">
      <c r="C794" s="113" t="str">
        <f>IF(B794="","",_xlfn.XLOOKUP(B794,お客様CD!$A:$A,お客様CD!$B:$B,"",0))</f>
        <v/>
      </c>
    </row>
    <row r="795" spans="3:3" x14ac:dyDescent="0.4">
      <c r="C795" s="113" t="str">
        <f>IF(B795="","",_xlfn.XLOOKUP(B795,お客様CD!$A:$A,お客様CD!$B:$B,"",0))</f>
        <v/>
      </c>
    </row>
    <row r="796" spans="3:3" x14ac:dyDescent="0.4">
      <c r="C796" s="113" t="str">
        <f>IF(B796="","",_xlfn.XLOOKUP(B796,お客様CD!$A:$A,お客様CD!$B:$B,"",0))</f>
        <v/>
      </c>
    </row>
    <row r="797" spans="3:3" x14ac:dyDescent="0.4">
      <c r="C797" s="113" t="str">
        <f>IF(B797="","",_xlfn.XLOOKUP(B797,お客様CD!$A:$A,お客様CD!$B:$B,"",0))</f>
        <v/>
      </c>
    </row>
    <row r="798" spans="3:3" x14ac:dyDescent="0.4">
      <c r="C798" s="113" t="str">
        <f>IF(B798="","",_xlfn.XLOOKUP(B798,お客様CD!$A:$A,お客様CD!$B:$B,"",0))</f>
        <v/>
      </c>
    </row>
    <row r="799" spans="3:3" x14ac:dyDescent="0.4">
      <c r="C799" s="113" t="str">
        <f>IF(B799="","",_xlfn.XLOOKUP(B799,お客様CD!$A:$A,お客様CD!$B:$B,"",0))</f>
        <v/>
      </c>
    </row>
    <row r="800" spans="3:3" x14ac:dyDescent="0.4">
      <c r="C800" s="113" t="str">
        <f>IF(B800="","",_xlfn.XLOOKUP(B800,お客様CD!$A:$A,お客様CD!$B:$B,"",0))</f>
        <v/>
      </c>
    </row>
    <row r="801" spans="3:3" x14ac:dyDescent="0.4">
      <c r="C801" s="113" t="str">
        <f>IF(B801="","",_xlfn.XLOOKUP(B801,お客様CD!$A:$A,お客様CD!$B:$B,"",0))</f>
        <v/>
      </c>
    </row>
    <row r="802" spans="3:3" x14ac:dyDescent="0.4">
      <c r="C802" s="113" t="str">
        <f>IF(B802="","",_xlfn.XLOOKUP(B802,お客様CD!$A:$A,お客様CD!$B:$B,"",0))</f>
        <v/>
      </c>
    </row>
    <row r="803" spans="3:3" x14ac:dyDescent="0.4">
      <c r="C803" s="113" t="str">
        <f>IF(B803="","",_xlfn.XLOOKUP(B803,お客様CD!$A:$A,お客様CD!$B:$B,"",0))</f>
        <v/>
      </c>
    </row>
    <row r="804" spans="3:3" x14ac:dyDescent="0.4">
      <c r="C804" s="113" t="str">
        <f>IF(B804="","",_xlfn.XLOOKUP(B804,お客様CD!$A:$A,お客様CD!$B:$B,"",0))</f>
        <v/>
      </c>
    </row>
    <row r="805" spans="3:3" x14ac:dyDescent="0.4">
      <c r="C805" s="113" t="str">
        <f>IF(B805="","",_xlfn.XLOOKUP(B805,お客様CD!$A:$A,お客様CD!$B:$B,"",0))</f>
        <v/>
      </c>
    </row>
    <row r="806" spans="3:3" x14ac:dyDescent="0.4">
      <c r="C806" s="113" t="str">
        <f>IF(B806="","",_xlfn.XLOOKUP(B806,お客様CD!$A:$A,お客様CD!$B:$B,"",0))</f>
        <v/>
      </c>
    </row>
    <row r="807" spans="3:3" x14ac:dyDescent="0.4">
      <c r="C807" s="113" t="str">
        <f>IF(B807="","",_xlfn.XLOOKUP(B807,お客様CD!$A:$A,お客様CD!$B:$B,"",0))</f>
        <v/>
      </c>
    </row>
    <row r="808" spans="3:3" x14ac:dyDescent="0.4">
      <c r="C808" s="113" t="str">
        <f>IF(B808="","",_xlfn.XLOOKUP(B808,お客様CD!$A:$A,お客様CD!$B:$B,"",0))</f>
        <v/>
      </c>
    </row>
    <row r="809" spans="3:3" x14ac:dyDescent="0.4">
      <c r="C809" s="113" t="str">
        <f>IF(B809="","",_xlfn.XLOOKUP(B809,お客様CD!$A:$A,お客様CD!$B:$B,"",0))</f>
        <v/>
      </c>
    </row>
    <row r="810" spans="3:3" x14ac:dyDescent="0.4">
      <c r="C810" s="113" t="str">
        <f>IF(B810="","",_xlfn.XLOOKUP(B810,お客様CD!$A:$A,お客様CD!$B:$B,"",0))</f>
        <v/>
      </c>
    </row>
    <row r="811" spans="3:3" x14ac:dyDescent="0.4">
      <c r="C811" s="113" t="str">
        <f>IF(B811="","",_xlfn.XLOOKUP(B811,お客様CD!$A:$A,お客様CD!$B:$B,"",0))</f>
        <v/>
      </c>
    </row>
    <row r="812" spans="3:3" x14ac:dyDescent="0.4">
      <c r="C812" s="113" t="str">
        <f>IF(B812="","",_xlfn.XLOOKUP(B812,お客様CD!$A:$A,お客様CD!$B:$B,"",0))</f>
        <v/>
      </c>
    </row>
    <row r="813" spans="3:3" x14ac:dyDescent="0.4">
      <c r="C813" s="113" t="str">
        <f>IF(B813="","",_xlfn.XLOOKUP(B813,お客様CD!$A:$A,お客様CD!$B:$B,"",0))</f>
        <v/>
      </c>
    </row>
    <row r="814" spans="3:3" x14ac:dyDescent="0.4">
      <c r="C814" s="113" t="str">
        <f>IF(B814="","",_xlfn.XLOOKUP(B814,お客様CD!$A:$A,お客様CD!$B:$B,"",0))</f>
        <v/>
      </c>
    </row>
    <row r="815" spans="3:3" x14ac:dyDescent="0.4">
      <c r="C815" s="113" t="str">
        <f>IF(B815="","",_xlfn.XLOOKUP(B815,お客様CD!$A:$A,お客様CD!$B:$B,"",0))</f>
        <v/>
      </c>
    </row>
    <row r="816" spans="3:3" x14ac:dyDescent="0.4">
      <c r="C816" s="113" t="str">
        <f>IF(B816="","",_xlfn.XLOOKUP(B816,お客様CD!$A:$A,お客様CD!$B:$B,"",0))</f>
        <v/>
      </c>
    </row>
    <row r="817" spans="3:3" x14ac:dyDescent="0.4">
      <c r="C817" s="113" t="str">
        <f>IF(B817="","",_xlfn.XLOOKUP(B817,お客様CD!$A:$A,お客様CD!$B:$B,"",0))</f>
        <v/>
      </c>
    </row>
    <row r="818" spans="3:3" x14ac:dyDescent="0.4">
      <c r="C818" s="113" t="str">
        <f>IF(B818="","",_xlfn.XLOOKUP(B818,お客様CD!$A:$A,お客様CD!$B:$B,"",0))</f>
        <v/>
      </c>
    </row>
    <row r="819" spans="3:3" x14ac:dyDescent="0.4">
      <c r="C819" s="113" t="str">
        <f>IF(B819="","",_xlfn.XLOOKUP(B819,お客様CD!$A:$A,お客様CD!$B:$B,"",0))</f>
        <v/>
      </c>
    </row>
    <row r="820" spans="3:3" x14ac:dyDescent="0.4">
      <c r="C820" s="113" t="str">
        <f>IF(B820="","",_xlfn.XLOOKUP(B820,お客様CD!$A:$A,お客様CD!$B:$B,"",0))</f>
        <v/>
      </c>
    </row>
    <row r="821" spans="3:3" x14ac:dyDescent="0.4">
      <c r="C821" s="113" t="str">
        <f>IF(B821="","",_xlfn.XLOOKUP(B821,お客様CD!$A:$A,お客様CD!$B:$B,"",0))</f>
        <v/>
      </c>
    </row>
    <row r="822" spans="3:3" x14ac:dyDescent="0.4">
      <c r="C822" s="113" t="str">
        <f>IF(B822="","",_xlfn.XLOOKUP(B822,お客様CD!$A:$A,お客様CD!$B:$B,"",0))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5F2E-9B8C-4AC2-B5CF-E5215FEF3AEF}">
  <dimension ref="A1:FB7"/>
  <sheetViews>
    <sheetView workbookViewId="0">
      <selection activeCell="A5" sqref="A5"/>
    </sheetView>
  </sheetViews>
  <sheetFormatPr defaultRowHeight="18.75" x14ac:dyDescent="0.4"/>
  <cols>
    <col min="1" max="2" width="11.875" bestFit="1" customWidth="1"/>
    <col min="3" max="3" width="11.875" style="87" bestFit="1" customWidth="1"/>
    <col min="4" max="4" width="11.875" bestFit="1" customWidth="1"/>
    <col min="5" max="5" width="11.875" style="87" bestFit="1" customWidth="1"/>
    <col min="6" max="6" width="25.5" style="87" bestFit="1" customWidth="1"/>
    <col min="7" max="7" width="11.875" style="87" bestFit="1" customWidth="1"/>
    <col min="8" max="8" width="22.75" bestFit="1" customWidth="1"/>
    <col min="9" max="9" width="11.875" bestFit="1" customWidth="1"/>
    <col min="10" max="10" width="13.125" style="87" bestFit="1" customWidth="1"/>
    <col min="11" max="11" width="13.125" bestFit="1" customWidth="1"/>
    <col min="12" max="12" width="13.375" bestFit="1" customWidth="1"/>
    <col min="13" max="13" width="13.875" style="87" bestFit="1" customWidth="1"/>
    <col min="14" max="16" width="13.125" bestFit="1" customWidth="1"/>
    <col min="17" max="17" width="13.125" style="87" bestFit="1" customWidth="1"/>
    <col min="18" max="18" width="13.125" bestFit="1" customWidth="1"/>
    <col min="19" max="19" width="13.125" style="87" bestFit="1" customWidth="1"/>
    <col min="20" max="20" width="13.125" bestFit="1" customWidth="1"/>
    <col min="21" max="21" width="13.125" style="87" bestFit="1" customWidth="1"/>
    <col min="22" max="25" width="13.125" bestFit="1" customWidth="1"/>
    <col min="26" max="26" width="13.375" style="87" bestFit="1" customWidth="1"/>
    <col min="27" max="27" width="13.375" bestFit="1" customWidth="1"/>
    <col min="28" max="28" width="14.75" bestFit="1" customWidth="1"/>
    <col min="29" max="29" width="13.375" bestFit="1" customWidth="1"/>
    <col min="30" max="30" width="13.125" bestFit="1" customWidth="1"/>
    <col min="31" max="31" width="13.375" style="87" bestFit="1" customWidth="1"/>
    <col min="32" max="32" width="13.375" bestFit="1" customWidth="1"/>
    <col min="33" max="33" width="15.875" bestFit="1" customWidth="1"/>
    <col min="34" max="34" width="13.375" bestFit="1" customWidth="1"/>
    <col min="35" max="35" width="13.125" bestFit="1" customWidth="1"/>
    <col min="36" max="37" width="13.375" bestFit="1" customWidth="1"/>
    <col min="38" max="38" width="15.875" bestFit="1" customWidth="1"/>
    <col min="39" max="39" width="13.375" bestFit="1" customWidth="1"/>
    <col min="40" max="40" width="13.125" bestFit="1" customWidth="1"/>
    <col min="41" max="42" width="13.375" bestFit="1" customWidth="1"/>
    <col min="43" max="43" width="15.875" bestFit="1" customWidth="1"/>
    <col min="44" max="44" width="13.375" bestFit="1" customWidth="1"/>
    <col min="45" max="45" width="13.125" bestFit="1" customWidth="1"/>
    <col min="46" max="47" width="13.375" bestFit="1" customWidth="1"/>
    <col min="48" max="48" width="15.875" bestFit="1" customWidth="1"/>
    <col min="49" max="49" width="13.375" bestFit="1" customWidth="1"/>
    <col min="50" max="50" width="13.125" bestFit="1" customWidth="1"/>
    <col min="51" max="52" width="13.375" bestFit="1" customWidth="1"/>
    <col min="53" max="53" width="15.875" bestFit="1" customWidth="1"/>
    <col min="54" max="54" width="13.375" bestFit="1" customWidth="1"/>
    <col min="55" max="55" width="13.125" bestFit="1" customWidth="1"/>
    <col min="56" max="57" width="13.375" bestFit="1" customWidth="1"/>
    <col min="58" max="58" width="15.875" bestFit="1" customWidth="1"/>
    <col min="59" max="59" width="13.375" bestFit="1" customWidth="1"/>
    <col min="60" max="60" width="13.125" bestFit="1" customWidth="1"/>
    <col min="61" max="62" width="13.375" bestFit="1" customWidth="1"/>
    <col min="63" max="63" width="15.875" bestFit="1" customWidth="1"/>
    <col min="64" max="64" width="13.375" bestFit="1" customWidth="1"/>
    <col min="65" max="65" width="13.125" bestFit="1" customWidth="1"/>
    <col min="66" max="67" width="13.375" bestFit="1" customWidth="1"/>
    <col min="68" max="68" width="15.875" bestFit="1" customWidth="1"/>
    <col min="69" max="69" width="13.375" bestFit="1" customWidth="1"/>
    <col min="70" max="70" width="13.125" bestFit="1" customWidth="1"/>
    <col min="71" max="72" width="13.375" bestFit="1" customWidth="1"/>
    <col min="73" max="73" width="15.875" bestFit="1" customWidth="1"/>
    <col min="74" max="74" width="13.375" bestFit="1" customWidth="1"/>
    <col min="75" max="75" width="16.375" bestFit="1" customWidth="1"/>
    <col min="76" max="77" width="14.25" bestFit="1" customWidth="1"/>
    <col min="78" max="78" width="18.5" bestFit="1" customWidth="1"/>
    <col min="79" max="79" width="14.25" bestFit="1" customWidth="1"/>
    <col min="80" max="80" width="17.5" bestFit="1" customWidth="1"/>
    <col min="81" max="82" width="15.375" bestFit="1" customWidth="1"/>
    <col min="83" max="83" width="19.5" bestFit="1" customWidth="1"/>
    <col min="84" max="84" width="15.375" bestFit="1" customWidth="1"/>
    <col min="85" max="85" width="17.5" bestFit="1" customWidth="1"/>
    <col min="86" max="87" width="15.375" bestFit="1" customWidth="1"/>
    <col min="88" max="88" width="19.5" bestFit="1" customWidth="1"/>
    <col min="89" max="89" width="15.375" bestFit="1" customWidth="1"/>
    <col min="90" max="90" width="17.5" bestFit="1" customWidth="1"/>
    <col min="91" max="92" width="15.375" bestFit="1" customWidth="1"/>
    <col min="93" max="93" width="19.5" bestFit="1" customWidth="1"/>
    <col min="94" max="94" width="15.375" bestFit="1" customWidth="1"/>
    <col min="95" max="95" width="17.5" bestFit="1" customWidth="1"/>
    <col min="96" max="97" width="15.375" bestFit="1" customWidth="1"/>
    <col min="98" max="98" width="19.5" bestFit="1" customWidth="1"/>
    <col min="99" max="99" width="15.375" bestFit="1" customWidth="1"/>
    <col min="100" max="100" width="17.5" bestFit="1" customWidth="1"/>
    <col min="101" max="102" width="15.375" bestFit="1" customWidth="1"/>
    <col min="103" max="103" width="19.5" bestFit="1" customWidth="1"/>
    <col min="104" max="104" width="15.375" bestFit="1" customWidth="1"/>
    <col min="105" max="105" width="17.5" bestFit="1" customWidth="1"/>
    <col min="106" max="107" width="15.375" bestFit="1" customWidth="1"/>
    <col min="108" max="108" width="19.5" bestFit="1" customWidth="1"/>
    <col min="109" max="109" width="15.375" bestFit="1" customWidth="1"/>
    <col min="110" max="110" width="17.5" bestFit="1" customWidth="1"/>
    <col min="111" max="112" width="15.375" bestFit="1" customWidth="1"/>
    <col min="113" max="113" width="19.5" bestFit="1" customWidth="1"/>
    <col min="114" max="114" width="15.375" bestFit="1" customWidth="1"/>
    <col min="115" max="115" width="17.5" bestFit="1" customWidth="1"/>
    <col min="116" max="117" width="15.375" bestFit="1" customWidth="1"/>
    <col min="118" max="118" width="19.5" bestFit="1" customWidth="1"/>
    <col min="119" max="119" width="15.375" bestFit="1" customWidth="1"/>
    <col min="120" max="120" width="17.5" bestFit="1" customWidth="1"/>
    <col min="121" max="122" width="15.375" bestFit="1" customWidth="1"/>
    <col min="123" max="123" width="19.5" bestFit="1" customWidth="1"/>
    <col min="124" max="124" width="15.375" bestFit="1" customWidth="1"/>
    <col min="125" max="126" width="14.375" bestFit="1" customWidth="1"/>
    <col min="127" max="127" width="15.125" bestFit="1" customWidth="1"/>
    <col min="128" max="128" width="14.375" bestFit="1" customWidth="1"/>
    <col min="129" max="129" width="15.125" bestFit="1" customWidth="1"/>
    <col min="130" max="147" width="14.375" bestFit="1" customWidth="1"/>
    <col min="148" max="148" width="14.375" style="87" bestFit="1" customWidth="1"/>
    <col min="149" max="149" width="15.125" bestFit="1" customWidth="1"/>
    <col min="150" max="150" width="14.375" style="87" bestFit="1" customWidth="1"/>
    <col min="151" max="152" width="14.375" bestFit="1" customWidth="1"/>
    <col min="153" max="153" width="15.125" style="87" bestFit="1" customWidth="1"/>
    <col min="154" max="154" width="14.375" style="87" bestFit="1" customWidth="1"/>
    <col min="155" max="156" width="14.375" bestFit="1" customWidth="1"/>
    <col min="157" max="157" width="15.5" bestFit="1" customWidth="1"/>
    <col min="158" max="158" width="9" style="87"/>
  </cols>
  <sheetData>
    <row r="1" spans="1:158" x14ac:dyDescent="0.4">
      <c r="A1" t="s">
        <v>132</v>
      </c>
      <c r="B1" t="s">
        <v>133</v>
      </c>
      <c r="C1" s="87" t="s">
        <v>134</v>
      </c>
      <c r="D1" t="s">
        <v>135</v>
      </c>
      <c r="E1" s="87" t="s">
        <v>136</v>
      </c>
      <c r="F1" s="87" t="s">
        <v>137</v>
      </c>
      <c r="G1" s="87" t="s">
        <v>138</v>
      </c>
      <c r="H1" t="s">
        <v>139</v>
      </c>
      <c r="I1" t="s">
        <v>140</v>
      </c>
      <c r="J1" s="87" t="s">
        <v>141</v>
      </c>
      <c r="K1" t="s">
        <v>142</v>
      </c>
      <c r="L1" t="s">
        <v>143</v>
      </c>
      <c r="M1" s="87" t="s">
        <v>144</v>
      </c>
      <c r="N1" t="s">
        <v>145</v>
      </c>
      <c r="O1" t="s">
        <v>146</v>
      </c>
      <c r="P1" t="s">
        <v>147</v>
      </c>
      <c r="Q1" s="87" t="s">
        <v>148</v>
      </c>
      <c r="R1" t="s">
        <v>149</v>
      </c>
      <c r="S1" s="87" t="s">
        <v>150</v>
      </c>
      <c r="T1" t="s">
        <v>151</v>
      </c>
      <c r="U1" s="87" t="s">
        <v>152</v>
      </c>
      <c r="V1" t="s">
        <v>153</v>
      </c>
      <c r="W1" t="s">
        <v>154</v>
      </c>
      <c r="X1" t="s">
        <v>155</v>
      </c>
      <c r="Y1" t="s">
        <v>156</v>
      </c>
      <c r="Z1" s="87" t="s">
        <v>157</v>
      </c>
      <c r="AA1" t="s">
        <v>158</v>
      </c>
      <c r="AB1" t="s">
        <v>159</v>
      </c>
      <c r="AC1" t="s">
        <v>160</v>
      </c>
      <c r="AD1" t="s">
        <v>161</v>
      </c>
      <c r="AE1" s="87" t="s">
        <v>162</v>
      </c>
      <c r="AF1" t="s">
        <v>163</v>
      </c>
      <c r="AG1" t="s">
        <v>164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  <c r="AM1" t="s">
        <v>170</v>
      </c>
      <c r="AN1" t="s">
        <v>171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  <c r="AV1" t="s">
        <v>179</v>
      </c>
      <c r="AW1" t="s">
        <v>180</v>
      </c>
      <c r="AX1" t="s">
        <v>181</v>
      </c>
      <c r="AY1" t="s">
        <v>182</v>
      </c>
      <c r="AZ1" t="s">
        <v>183</v>
      </c>
      <c r="BA1" t="s">
        <v>184</v>
      </c>
      <c r="BB1" t="s">
        <v>185</v>
      </c>
      <c r="BC1" t="s">
        <v>186</v>
      </c>
      <c r="BD1" t="s">
        <v>187</v>
      </c>
      <c r="BE1" t="s">
        <v>188</v>
      </c>
      <c r="BF1" t="s">
        <v>189</v>
      </c>
      <c r="BG1" t="s">
        <v>190</v>
      </c>
      <c r="BH1" t="s">
        <v>191</v>
      </c>
      <c r="BI1" t="s">
        <v>192</v>
      </c>
      <c r="BJ1" t="s">
        <v>193</v>
      </c>
      <c r="BK1" t="s">
        <v>194</v>
      </c>
      <c r="BL1" t="s">
        <v>195</v>
      </c>
      <c r="BM1" t="s">
        <v>196</v>
      </c>
      <c r="BN1" t="s">
        <v>197</v>
      </c>
      <c r="BO1" t="s">
        <v>198</v>
      </c>
      <c r="BP1" t="s">
        <v>199</v>
      </c>
      <c r="BQ1" t="s">
        <v>200</v>
      </c>
      <c r="BR1" t="s">
        <v>201</v>
      </c>
      <c r="BS1" t="s">
        <v>202</v>
      </c>
      <c r="BT1" t="s">
        <v>203</v>
      </c>
      <c r="BU1" t="s">
        <v>204</v>
      </c>
      <c r="BV1" t="s">
        <v>205</v>
      </c>
      <c r="BW1" t="s">
        <v>206</v>
      </c>
      <c r="BX1" t="s">
        <v>207</v>
      </c>
      <c r="BY1" t="s">
        <v>208</v>
      </c>
      <c r="BZ1" t="s">
        <v>209</v>
      </c>
      <c r="CA1" t="s">
        <v>210</v>
      </c>
      <c r="CB1" t="s">
        <v>211</v>
      </c>
      <c r="CC1" t="s">
        <v>212</v>
      </c>
      <c r="CD1" t="s">
        <v>213</v>
      </c>
      <c r="CE1" t="s">
        <v>214</v>
      </c>
      <c r="CF1" t="s">
        <v>215</v>
      </c>
      <c r="CG1" t="s">
        <v>216</v>
      </c>
      <c r="CH1" t="s">
        <v>217</v>
      </c>
      <c r="CI1" t="s">
        <v>218</v>
      </c>
      <c r="CJ1" t="s">
        <v>219</v>
      </c>
      <c r="CK1" t="s">
        <v>220</v>
      </c>
      <c r="CL1" t="s">
        <v>221</v>
      </c>
      <c r="CM1" t="s">
        <v>222</v>
      </c>
      <c r="CN1" t="s">
        <v>223</v>
      </c>
      <c r="CO1" t="s">
        <v>224</v>
      </c>
      <c r="CP1" t="s">
        <v>225</v>
      </c>
      <c r="CQ1" t="s">
        <v>226</v>
      </c>
      <c r="CR1" t="s">
        <v>227</v>
      </c>
      <c r="CS1" t="s">
        <v>228</v>
      </c>
      <c r="CT1" t="s">
        <v>229</v>
      </c>
      <c r="CU1" t="s">
        <v>230</v>
      </c>
      <c r="CV1" t="s">
        <v>231</v>
      </c>
      <c r="CW1" t="s">
        <v>232</v>
      </c>
      <c r="CX1" t="s">
        <v>233</v>
      </c>
      <c r="CY1" t="s">
        <v>234</v>
      </c>
      <c r="CZ1" t="s">
        <v>235</v>
      </c>
      <c r="DA1" t="s">
        <v>236</v>
      </c>
      <c r="DB1" t="s">
        <v>237</v>
      </c>
      <c r="DC1" t="s">
        <v>238</v>
      </c>
      <c r="DD1" t="s">
        <v>239</v>
      </c>
      <c r="DE1" t="s">
        <v>240</v>
      </c>
      <c r="DF1" t="s">
        <v>241</v>
      </c>
      <c r="DG1" t="s">
        <v>242</v>
      </c>
      <c r="DH1" t="s">
        <v>243</v>
      </c>
      <c r="DI1" t="s">
        <v>244</v>
      </c>
      <c r="DJ1" t="s">
        <v>245</v>
      </c>
      <c r="DK1" t="s">
        <v>246</v>
      </c>
      <c r="DL1" t="s">
        <v>247</v>
      </c>
      <c r="DM1" t="s">
        <v>248</v>
      </c>
      <c r="DN1" t="s">
        <v>249</v>
      </c>
      <c r="DO1" t="s">
        <v>250</v>
      </c>
      <c r="DP1" t="s">
        <v>251</v>
      </c>
      <c r="DQ1" t="s">
        <v>252</v>
      </c>
      <c r="DR1" t="s">
        <v>253</v>
      </c>
      <c r="DS1" t="s">
        <v>254</v>
      </c>
      <c r="DT1" t="s">
        <v>255</v>
      </c>
      <c r="DU1" t="s">
        <v>256</v>
      </c>
      <c r="DV1" t="s">
        <v>257</v>
      </c>
      <c r="DW1" t="s">
        <v>258</v>
      </c>
      <c r="DX1" t="s">
        <v>259</v>
      </c>
      <c r="DY1" t="s">
        <v>260</v>
      </c>
      <c r="DZ1" t="s">
        <v>261</v>
      </c>
      <c r="EA1" t="s">
        <v>262</v>
      </c>
      <c r="EB1" t="s">
        <v>263</v>
      </c>
      <c r="EC1" t="s">
        <v>264</v>
      </c>
      <c r="ED1" t="s">
        <v>265</v>
      </c>
      <c r="EE1" t="s">
        <v>266</v>
      </c>
      <c r="EF1" t="s">
        <v>267</v>
      </c>
      <c r="EG1" t="s">
        <v>268</v>
      </c>
      <c r="EH1" t="s">
        <v>269</v>
      </c>
      <c r="EI1" t="s">
        <v>270</v>
      </c>
      <c r="EJ1" t="s">
        <v>271</v>
      </c>
      <c r="EK1" t="s">
        <v>272</v>
      </c>
      <c r="EL1" t="s">
        <v>273</v>
      </c>
      <c r="EM1" t="s">
        <v>274</v>
      </c>
      <c r="EN1" t="s">
        <v>275</v>
      </c>
      <c r="EO1" t="s">
        <v>276</v>
      </c>
      <c r="EP1" t="s">
        <v>277</v>
      </c>
      <c r="EQ1" t="s">
        <v>278</v>
      </c>
      <c r="ER1" s="87" t="s">
        <v>279</v>
      </c>
      <c r="ES1" t="s">
        <v>280</v>
      </c>
      <c r="ET1" s="87" t="s">
        <v>281</v>
      </c>
      <c r="EU1" t="s">
        <v>282</v>
      </c>
      <c r="EV1" t="s">
        <v>283</v>
      </c>
      <c r="EW1" s="87" t="s">
        <v>284</v>
      </c>
      <c r="EX1" s="87" t="s">
        <v>285</v>
      </c>
      <c r="EY1" t="s">
        <v>286</v>
      </c>
      <c r="EZ1" t="s">
        <v>287</v>
      </c>
      <c r="FA1" t="s">
        <v>288</v>
      </c>
      <c r="FB1" s="87" t="s">
        <v>289</v>
      </c>
    </row>
    <row r="2" spans="1:158" x14ac:dyDescent="0.4">
      <c r="A2" t="s">
        <v>290</v>
      </c>
      <c r="B2" t="s">
        <v>291</v>
      </c>
      <c r="C2" s="87" t="s">
        <v>292</v>
      </c>
      <c r="D2" t="s">
        <v>291</v>
      </c>
      <c r="E2" s="87" t="s">
        <v>293</v>
      </c>
      <c r="F2" s="87" t="s">
        <v>294</v>
      </c>
      <c r="G2" s="87" t="s">
        <v>295</v>
      </c>
      <c r="H2" t="s">
        <v>296</v>
      </c>
      <c r="I2" t="s">
        <v>296</v>
      </c>
      <c r="J2" s="87" t="s">
        <v>297</v>
      </c>
      <c r="K2" t="s">
        <v>291</v>
      </c>
      <c r="L2" t="s">
        <v>298</v>
      </c>
      <c r="M2" s="87" t="s">
        <v>290</v>
      </c>
      <c r="N2" t="s">
        <v>291</v>
      </c>
      <c r="O2" t="s">
        <v>290</v>
      </c>
      <c r="P2" t="s">
        <v>291</v>
      </c>
      <c r="Q2" s="87" t="s">
        <v>299</v>
      </c>
      <c r="R2" t="s">
        <v>291</v>
      </c>
      <c r="S2" s="87" t="s">
        <v>299</v>
      </c>
      <c r="T2" t="s">
        <v>291</v>
      </c>
      <c r="U2" s="87" t="s">
        <v>299</v>
      </c>
      <c r="V2" t="s">
        <v>291</v>
      </c>
      <c r="W2" t="s">
        <v>299</v>
      </c>
      <c r="X2" t="s">
        <v>291</v>
      </c>
      <c r="Y2" t="s">
        <v>291</v>
      </c>
      <c r="Z2" s="87" t="s">
        <v>300</v>
      </c>
      <c r="AA2" t="s">
        <v>300</v>
      </c>
      <c r="AB2" t="s">
        <v>297</v>
      </c>
      <c r="AC2" t="s">
        <v>301</v>
      </c>
      <c r="AD2" t="s">
        <v>291</v>
      </c>
      <c r="AE2" s="87" t="s">
        <v>300</v>
      </c>
      <c r="AF2" t="s">
        <v>300</v>
      </c>
      <c r="AG2" t="s">
        <v>297</v>
      </c>
      <c r="AH2" t="s">
        <v>301</v>
      </c>
      <c r="AI2" t="s">
        <v>291</v>
      </c>
      <c r="AJ2" t="s">
        <v>300</v>
      </c>
      <c r="AK2" t="s">
        <v>300</v>
      </c>
      <c r="AL2" t="s">
        <v>297</v>
      </c>
      <c r="AM2" t="s">
        <v>301</v>
      </c>
      <c r="AN2" t="s">
        <v>291</v>
      </c>
      <c r="AO2" t="s">
        <v>300</v>
      </c>
      <c r="AP2" t="s">
        <v>300</v>
      </c>
      <c r="AQ2" t="s">
        <v>297</v>
      </c>
      <c r="AR2" t="s">
        <v>301</v>
      </c>
      <c r="AS2" t="s">
        <v>291</v>
      </c>
      <c r="AT2" t="s">
        <v>300</v>
      </c>
      <c r="AU2" t="s">
        <v>300</v>
      </c>
      <c r="AV2" t="s">
        <v>297</v>
      </c>
      <c r="AW2" t="s">
        <v>301</v>
      </c>
      <c r="AX2" t="s">
        <v>291</v>
      </c>
      <c r="AY2" t="s">
        <v>300</v>
      </c>
      <c r="AZ2" t="s">
        <v>300</v>
      </c>
      <c r="BA2" t="s">
        <v>297</v>
      </c>
      <c r="BB2" t="s">
        <v>301</v>
      </c>
      <c r="BC2" t="s">
        <v>291</v>
      </c>
      <c r="BD2" t="s">
        <v>300</v>
      </c>
      <c r="BE2" t="s">
        <v>300</v>
      </c>
      <c r="BF2" t="s">
        <v>297</v>
      </c>
      <c r="BG2" t="s">
        <v>301</v>
      </c>
      <c r="BH2" t="s">
        <v>291</v>
      </c>
      <c r="BI2" t="s">
        <v>300</v>
      </c>
      <c r="BJ2" t="s">
        <v>300</v>
      </c>
      <c r="BK2" t="s">
        <v>297</v>
      </c>
      <c r="BL2" t="s">
        <v>301</v>
      </c>
      <c r="BM2" t="s">
        <v>291</v>
      </c>
      <c r="BN2" t="s">
        <v>300</v>
      </c>
      <c r="BO2" t="s">
        <v>300</v>
      </c>
      <c r="BP2" t="s">
        <v>297</v>
      </c>
      <c r="BQ2" t="s">
        <v>301</v>
      </c>
      <c r="BR2" t="s">
        <v>291</v>
      </c>
      <c r="BS2" t="s">
        <v>300</v>
      </c>
      <c r="BT2" t="s">
        <v>300</v>
      </c>
      <c r="BU2" t="s">
        <v>297</v>
      </c>
      <c r="BV2" t="s">
        <v>301</v>
      </c>
      <c r="BW2" t="s">
        <v>302</v>
      </c>
      <c r="BX2" t="s">
        <v>300</v>
      </c>
      <c r="BY2" t="s">
        <v>300</v>
      </c>
      <c r="BZ2" t="s">
        <v>297</v>
      </c>
      <c r="CA2" t="s">
        <v>301</v>
      </c>
      <c r="CB2" t="s">
        <v>302</v>
      </c>
      <c r="CC2" t="s">
        <v>300</v>
      </c>
      <c r="CD2" t="s">
        <v>300</v>
      </c>
      <c r="CE2" t="s">
        <v>297</v>
      </c>
      <c r="CF2" t="s">
        <v>301</v>
      </c>
      <c r="CG2" t="s">
        <v>302</v>
      </c>
      <c r="CH2" t="s">
        <v>300</v>
      </c>
      <c r="CI2" t="s">
        <v>300</v>
      </c>
      <c r="CJ2" t="s">
        <v>297</v>
      </c>
      <c r="CK2" t="s">
        <v>301</v>
      </c>
      <c r="CL2" t="s">
        <v>302</v>
      </c>
      <c r="CM2" t="s">
        <v>300</v>
      </c>
      <c r="CN2" t="s">
        <v>300</v>
      </c>
      <c r="CO2" t="s">
        <v>297</v>
      </c>
      <c r="CP2" t="s">
        <v>301</v>
      </c>
      <c r="CQ2" t="s">
        <v>302</v>
      </c>
      <c r="CR2" t="s">
        <v>300</v>
      </c>
      <c r="CS2" t="s">
        <v>300</v>
      </c>
      <c r="CT2" t="s">
        <v>297</v>
      </c>
      <c r="CU2" t="s">
        <v>301</v>
      </c>
      <c r="CV2" t="s">
        <v>302</v>
      </c>
      <c r="CW2" t="s">
        <v>300</v>
      </c>
      <c r="CX2" t="s">
        <v>300</v>
      </c>
      <c r="CY2" t="s">
        <v>297</v>
      </c>
      <c r="CZ2" t="s">
        <v>301</v>
      </c>
      <c r="DA2" t="s">
        <v>302</v>
      </c>
      <c r="DB2" t="s">
        <v>300</v>
      </c>
      <c r="DC2" t="s">
        <v>300</v>
      </c>
      <c r="DD2" t="s">
        <v>297</v>
      </c>
      <c r="DE2" t="s">
        <v>301</v>
      </c>
      <c r="DF2" t="s">
        <v>302</v>
      </c>
      <c r="DG2" t="s">
        <v>300</v>
      </c>
      <c r="DH2" t="s">
        <v>300</v>
      </c>
      <c r="DI2" t="s">
        <v>297</v>
      </c>
      <c r="DJ2" t="s">
        <v>301</v>
      </c>
      <c r="DK2" t="s">
        <v>302</v>
      </c>
      <c r="DL2" t="s">
        <v>300</v>
      </c>
      <c r="DM2" t="s">
        <v>300</v>
      </c>
      <c r="DN2" t="s">
        <v>297</v>
      </c>
      <c r="DO2" t="s">
        <v>301</v>
      </c>
      <c r="DP2" t="s">
        <v>302</v>
      </c>
      <c r="DQ2" t="s">
        <v>300</v>
      </c>
      <c r="DR2" t="s">
        <v>300</v>
      </c>
      <c r="DS2" t="s">
        <v>297</v>
      </c>
      <c r="DT2" t="s">
        <v>301</v>
      </c>
      <c r="DU2" t="s">
        <v>299</v>
      </c>
      <c r="DV2" t="s">
        <v>303</v>
      </c>
      <c r="DW2" t="s">
        <v>291</v>
      </c>
      <c r="DX2" t="s">
        <v>303</v>
      </c>
      <c r="DY2" t="s">
        <v>291</v>
      </c>
      <c r="DZ2" t="s">
        <v>297</v>
      </c>
      <c r="EA2" t="s">
        <v>291</v>
      </c>
      <c r="EB2" t="s">
        <v>303</v>
      </c>
      <c r="EC2" t="s">
        <v>291</v>
      </c>
      <c r="ED2" t="s">
        <v>304</v>
      </c>
      <c r="EE2" t="s">
        <v>304</v>
      </c>
      <c r="EF2" t="s">
        <v>304</v>
      </c>
      <c r="EG2" t="s">
        <v>304</v>
      </c>
      <c r="EH2" t="s">
        <v>304</v>
      </c>
      <c r="EI2" t="s">
        <v>298</v>
      </c>
      <c r="EJ2" t="s">
        <v>305</v>
      </c>
      <c r="EK2" t="s">
        <v>305</v>
      </c>
      <c r="EL2" t="s">
        <v>306</v>
      </c>
      <c r="EM2" t="s">
        <v>306</v>
      </c>
      <c r="EN2" t="s">
        <v>298</v>
      </c>
      <c r="EO2" t="s">
        <v>302</v>
      </c>
      <c r="EP2" t="s">
        <v>302</v>
      </c>
      <c r="EQ2" t="s">
        <v>307</v>
      </c>
      <c r="ER2" s="87" t="s">
        <v>303</v>
      </c>
      <c r="ES2" t="s">
        <v>291</v>
      </c>
      <c r="ET2" s="87" t="s">
        <v>308</v>
      </c>
      <c r="EU2" t="s">
        <v>291</v>
      </c>
      <c r="EV2" t="s">
        <v>303</v>
      </c>
      <c r="EW2" s="87" t="s">
        <v>291</v>
      </c>
      <c r="EX2" s="87" t="s">
        <v>309</v>
      </c>
      <c r="EY2" t="s">
        <v>297</v>
      </c>
      <c r="EZ2" t="s">
        <v>291</v>
      </c>
      <c r="FA2" t="s">
        <v>296</v>
      </c>
      <c r="FB2" s="87" t="s">
        <v>310</v>
      </c>
    </row>
    <row r="3" spans="1:158" x14ac:dyDescent="0.4">
      <c r="A3" t="s">
        <v>291</v>
      </c>
      <c r="B3" t="s">
        <v>291</v>
      </c>
      <c r="C3" s="87" t="s">
        <v>311</v>
      </c>
      <c r="D3" t="s">
        <v>312</v>
      </c>
      <c r="E3" s="87" t="s">
        <v>313</v>
      </c>
      <c r="F3" s="87" t="s">
        <v>314</v>
      </c>
      <c r="G3" s="87" t="s">
        <v>315</v>
      </c>
      <c r="I3" t="s">
        <v>291</v>
      </c>
      <c r="J3" s="87" t="s">
        <v>115</v>
      </c>
      <c r="L3" t="s">
        <v>316</v>
      </c>
      <c r="M3" s="87" t="s">
        <v>291</v>
      </c>
      <c r="N3" t="s">
        <v>291</v>
      </c>
      <c r="O3" t="s">
        <v>291</v>
      </c>
      <c r="P3" t="s">
        <v>291</v>
      </c>
      <c r="Q3" s="87" t="s">
        <v>291</v>
      </c>
      <c r="R3" t="s">
        <v>291</v>
      </c>
      <c r="S3" s="87" t="s">
        <v>291</v>
      </c>
      <c r="T3" t="s">
        <v>291</v>
      </c>
      <c r="U3" s="87" t="s">
        <v>291</v>
      </c>
      <c r="V3" t="s">
        <v>291</v>
      </c>
      <c r="W3" t="s">
        <v>291</v>
      </c>
      <c r="X3" t="s">
        <v>291</v>
      </c>
      <c r="Y3" t="s">
        <v>291</v>
      </c>
      <c r="Z3" s="87">
        <v>280</v>
      </c>
      <c r="AA3" t="s">
        <v>291</v>
      </c>
      <c r="AB3" t="s">
        <v>291</v>
      </c>
      <c r="AC3" t="s">
        <v>291</v>
      </c>
      <c r="AD3" t="s">
        <v>317</v>
      </c>
      <c r="AE3" s="87">
        <v>84</v>
      </c>
      <c r="AF3" t="s">
        <v>291</v>
      </c>
      <c r="AG3" t="s">
        <v>291</v>
      </c>
      <c r="AH3" t="s">
        <v>291</v>
      </c>
      <c r="AI3" t="s">
        <v>291</v>
      </c>
      <c r="AJ3" t="s">
        <v>291</v>
      </c>
      <c r="AK3" t="s">
        <v>291</v>
      </c>
      <c r="AL3" t="s">
        <v>291</v>
      </c>
      <c r="AM3" t="s">
        <v>291</v>
      </c>
      <c r="AN3" t="s">
        <v>291</v>
      </c>
      <c r="AO3" t="s">
        <v>291</v>
      </c>
      <c r="AP3" t="s">
        <v>291</v>
      </c>
      <c r="AQ3" t="s">
        <v>291</v>
      </c>
      <c r="AR3" t="s">
        <v>291</v>
      </c>
      <c r="AS3" t="s">
        <v>291</v>
      </c>
      <c r="AT3" t="s">
        <v>291</v>
      </c>
      <c r="AU3" t="s">
        <v>291</v>
      </c>
      <c r="AV3" t="s">
        <v>291</v>
      </c>
      <c r="AW3" t="s">
        <v>291</v>
      </c>
      <c r="AX3" t="s">
        <v>291</v>
      </c>
      <c r="AY3" t="s">
        <v>291</v>
      </c>
      <c r="AZ3" t="s">
        <v>291</v>
      </c>
      <c r="BA3" t="s">
        <v>291</v>
      </c>
      <c r="BB3" t="s">
        <v>291</v>
      </c>
      <c r="BC3" t="s">
        <v>291</v>
      </c>
      <c r="BD3" t="s">
        <v>291</v>
      </c>
      <c r="BE3" t="s">
        <v>291</v>
      </c>
      <c r="BF3" t="s">
        <v>291</v>
      </c>
      <c r="BG3" t="s">
        <v>291</v>
      </c>
      <c r="BH3" t="s">
        <v>291</v>
      </c>
      <c r="BI3" t="s">
        <v>291</v>
      </c>
      <c r="BJ3" t="s">
        <v>291</v>
      </c>
      <c r="BK3" t="s">
        <v>291</v>
      </c>
      <c r="BL3" t="s">
        <v>291</v>
      </c>
      <c r="BM3" t="s">
        <v>291</v>
      </c>
      <c r="BN3" t="s">
        <v>291</v>
      </c>
      <c r="BO3" t="s">
        <v>291</v>
      </c>
      <c r="BP3" t="s">
        <v>291</v>
      </c>
      <c r="BQ3" t="s">
        <v>291</v>
      </c>
      <c r="BR3" t="s">
        <v>291</v>
      </c>
      <c r="BS3" t="s">
        <v>291</v>
      </c>
      <c r="BT3" t="s">
        <v>291</v>
      </c>
      <c r="BU3" t="s">
        <v>291</v>
      </c>
      <c r="BV3" t="s">
        <v>291</v>
      </c>
      <c r="BW3" t="s">
        <v>291</v>
      </c>
      <c r="BX3" t="s">
        <v>291</v>
      </c>
      <c r="BY3" t="s">
        <v>291</v>
      </c>
      <c r="BZ3" t="s">
        <v>291</v>
      </c>
      <c r="CA3" t="s">
        <v>291</v>
      </c>
      <c r="CB3" t="s">
        <v>291</v>
      </c>
      <c r="CC3" t="s">
        <v>291</v>
      </c>
      <c r="CD3" t="s">
        <v>291</v>
      </c>
      <c r="CE3" t="s">
        <v>291</v>
      </c>
      <c r="CF3" t="s">
        <v>291</v>
      </c>
      <c r="CG3" t="s">
        <v>291</v>
      </c>
      <c r="CH3" t="s">
        <v>291</v>
      </c>
      <c r="CI3" t="s">
        <v>291</v>
      </c>
      <c r="CJ3" t="s">
        <v>291</v>
      </c>
      <c r="CK3" t="s">
        <v>291</v>
      </c>
      <c r="CL3" t="s">
        <v>291</v>
      </c>
      <c r="CM3" t="s">
        <v>291</v>
      </c>
      <c r="CN3" t="s">
        <v>291</v>
      </c>
      <c r="CO3" t="s">
        <v>291</v>
      </c>
      <c r="CP3" t="s">
        <v>291</v>
      </c>
      <c r="CQ3" t="s">
        <v>291</v>
      </c>
      <c r="CR3" t="s">
        <v>291</v>
      </c>
      <c r="CS3" t="s">
        <v>291</v>
      </c>
      <c r="CT3" t="s">
        <v>291</v>
      </c>
      <c r="CU3" t="s">
        <v>291</v>
      </c>
      <c r="CV3" t="s">
        <v>291</v>
      </c>
      <c r="CW3" t="s">
        <v>291</v>
      </c>
      <c r="CX3" t="s">
        <v>291</v>
      </c>
      <c r="CY3" t="s">
        <v>291</v>
      </c>
      <c r="CZ3" t="s">
        <v>291</v>
      </c>
      <c r="DA3" t="s">
        <v>291</v>
      </c>
      <c r="DB3" t="s">
        <v>291</v>
      </c>
      <c r="DC3" t="s">
        <v>291</v>
      </c>
      <c r="DD3" t="s">
        <v>291</v>
      </c>
      <c r="DE3" t="s">
        <v>291</v>
      </c>
      <c r="DF3" t="s">
        <v>291</v>
      </c>
      <c r="DG3" t="s">
        <v>291</v>
      </c>
      <c r="DH3" t="s">
        <v>291</v>
      </c>
      <c r="DI3" t="s">
        <v>291</v>
      </c>
      <c r="DJ3" t="s">
        <v>291</v>
      </c>
      <c r="DK3" t="s">
        <v>291</v>
      </c>
      <c r="DL3" t="s">
        <v>291</v>
      </c>
      <c r="DM3" t="s">
        <v>291</v>
      </c>
      <c r="DN3" t="s">
        <v>291</v>
      </c>
      <c r="DO3" t="s">
        <v>291</v>
      </c>
      <c r="DP3" t="s">
        <v>291</v>
      </c>
      <c r="DQ3" t="s">
        <v>291</v>
      </c>
      <c r="DR3" t="s">
        <v>291</v>
      </c>
      <c r="DS3" t="s">
        <v>291</v>
      </c>
      <c r="DT3" t="s">
        <v>291</v>
      </c>
      <c r="DU3" t="s">
        <v>291</v>
      </c>
      <c r="DV3" t="s">
        <v>318</v>
      </c>
      <c r="DW3" t="s">
        <v>319</v>
      </c>
      <c r="DX3" t="s">
        <v>318</v>
      </c>
      <c r="DY3" t="s">
        <v>320</v>
      </c>
      <c r="DZ3" t="s">
        <v>321</v>
      </c>
      <c r="EA3" t="s">
        <v>322</v>
      </c>
      <c r="EB3" t="s">
        <v>318</v>
      </c>
      <c r="EC3" t="s">
        <v>323</v>
      </c>
      <c r="ED3" t="s">
        <v>318</v>
      </c>
      <c r="EE3" t="s">
        <v>318</v>
      </c>
      <c r="EF3" t="s">
        <v>318</v>
      </c>
      <c r="EG3" t="s">
        <v>318</v>
      </c>
      <c r="EH3" t="s">
        <v>318</v>
      </c>
      <c r="EI3" t="s">
        <v>324</v>
      </c>
      <c r="EJ3" t="s">
        <v>318</v>
      </c>
      <c r="EK3" t="s">
        <v>318</v>
      </c>
      <c r="EL3" t="s">
        <v>291</v>
      </c>
      <c r="EM3" t="s">
        <v>291</v>
      </c>
      <c r="EN3" t="s">
        <v>325</v>
      </c>
      <c r="EO3" t="s">
        <v>291</v>
      </c>
      <c r="EP3" t="s">
        <v>291</v>
      </c>
      <c r="EQ3" t="s">
        <v>291</v>
      </c>
      <c r="ER3" s="87">
        <v>2</v>
      </c>
      <c r="ES3" t="s">
        <v>326</v>
      </c>
      <c r="ET3" s="87" t="s">
        <v>327</v>
      </c>
      <c r="EU3" t="s">
        <v>328</v>
      </c>
      <c r="EV3" t="s">
        <v>318</v>
      </c>
      <c r="EW3" s="87" t="s">
        <v>329</v>
      </c>
      <c r="EX3" s="87" t="s">
        <v>324</v>
      </c>
      <c r="EY3" t="s">
        <v>291</v>
      </c>
      <c r="EZ3" t="s">
        <v>291</v>
      </c>
      <c r="FA3" t="s">
        <v>291</v>
      </c>
    </row>
    <row r="4" spans="1:158" x14ac:dyDescent="0.4">
      <c r="C4" s="87" t="s">
        <v>121</v>
      </c>
      <c r="E4" s="87" t="s">
        <v>15</v>
      </c>
      <c r="F4" s="87" t="s">
        <v>19</v>
      </c>
      <c r="G4" s="87" t="s">
        <v>985</v>
      </c>
      <c r="J4" s="87" t="s">
        <v>986</v>
      </c>
      <c r="M4" s="87" t="s">
        <v>3169</v>
      </c>
      <c r="Q4" s="87" t="s">
        <v>111</v>
      </c>
      <c r="S4" s="87" t="s">
        <v>120</v>
      </c>
      <c r="U4" s="87" t="s">
        <v>987</v>
      </c>
      <c r="Z4" s="87" t="s">
        <v>988</v>
      </c>
      <c r="AE4" s="87" t="s">
        <v>989</v>
      </c>
      <c r="AJ4" t="s">
        <v>990</v>
      </c>
      <c r="AO4" t="s">
        <v>991</v>
      </c>
      <c r="AT4" t="s">
        <v>992</v>
      </c>
      <c r="AY4" t="s">
        <v>3170</v>
      </c>
      <c r="BD4" t="s">
        <v>2730</v>
      </c>
      <c r="BI4" t="s">
        <v>3171</v>
      </c>
      <c r="BN4" t="s">
        <v>3135</v>
      </c>
      <c r="ER4" s="87" t="s">
        <v>124</v>
      </c>
      <c r="ET4" s="87" t="s">
        <v>3172</v>
      </c>
      <c r="EW4" s="87" t="s">
        <v>3173</v>
      </c>
      <c r="EX4" s="87" t="s">
        <v>3174</v>
      </c>
      <c r="FB4" s="87" t="s">
        <v>3175</v>
      </c>
    </row>
    <row r="5" spans="1:158" x14ac:dyDescent="0.4">
      <c r="C5" s="87" t="str">
        <f>IF(分類!P5="","",分類!P5)</f>
        <v>963161</v>
      </c>
      <c r="D5" t="str">
        <f>IF(C5="","",_xlfn.XLOOKUP(C5,ﾒｰｶｰCD!$A:$A,ﾒｰｶｰCD!$B:$B,0))</f>
        <v>ﾌﾛｰﾊﾞﾙ</v>
      </c>
      <c r="E5" s="87" t="str">
        <f>IF(分類!R5="","",分類!R5)</f>
        <v>MRRFNI1/8</v>
      </c>
      <c r="F5" s="87" t="str">
        <f>IF(分類!V5="","",分類!V5)</f>
        <v xml:space="preserve"> 黄銅ﾒｯｷ付 ﾘﾘｰﾌﾆｯﾌﾟﾙ PT1/8    </v>
      </c>
      <c r="G5" s="87" t="str">
        <f>IF(分類!AG5="","",分類!AG5)</f>
        <v xml:space="preserve">33201601 NRN-01K </v>
      </c>
      <c r="J5" s="87" t="str">
        <f>IF(分類!AK5="","",分類!AK5)</f>
        <v>01</v>
      </c>
      <c r="K5" t="str">
        <f>IF(J5="","",_xlfn.XLOOKUP(J5,単位CD!$A:$A,単位CD!$B:$B,0))</f>
        <v>ヶ</v>
      </c>
      <c r="M5" s="87">
        <f>IF(分類!BK5="","",分類!BK5)</f>
        <v>15</v>
      </c>
      <c r="N5" t="str">
        <f>IF(M5="","",_xlfn.XLOOKUP(M5,仕入先CD!$A:$A,仕入先CD!$B:$B,0))</f>
        <v>ﾌﾛｰﾊﾞﾙ</v>
      </c>
      <c r="Q5" s="87" t="str">
        <f>IF(分類!B5="","",分類!B5)</f>
        <v>T14</v>
      </c>
      <c r="R5" t="str">
        <f>IF(Q5="","",_xlfn.XLOOKUP(Q5,大分類!$A:$A,大分類!$B:$B,0))</f>
        <v>ｸﾞﾘｽﾆｯﾌﾟﾙ</v>
      </c>
      <c r="S5" s="87" t="str">
        <f>IF(分類!D5="","",分類!D5)</f>
        <v>T19</v>
      </c>
      <c r="T5" t="str">
        <f>IF(S5="","",_xlfn.XLOOKUP(S5,中分類!$A:$A,中分類!$B:$B,0))</f>
        <v>ﾒｯｷ</v>
      </c>
      <c r="U5" s="87" t="str">
        <f>IF(分類!F5="","",分類!F5)</f>
        <v>T51</v>
      </c>
      <c r="V5" t="str">
        <f>IF(U5="","",_xlfn.XLOOKUP(U5,小分類!$A:$A,小分類!$B:$B,0))</f>
        <v>ﾘﾘｰﾌﾆｯﾌﾟﾙ</v>
      </c>
      <c r="Z5" s="87">
        <f>IF(分類!AN5="","",分類!AN5)</f>
        <v>330</v>
      </c>
      <c r="AE5" s="87">
        <f>IF(分類!AM5="","",分類!AM5)</f>
        <v>172</v>
      </c>
      <c r="AJ5">
        <f>IF(分類!AS5="","",分類!AS5)</f>
        <v>0</v>
      </c>
      <c r="AO5">
        <f>IF(分類!AU5="","",分類!AU5)</f>
        <v>257</v>
      </c>
      <c r="AT5">
        <f>IF(分類!AW5="","",分類!AW5)</f>
        <v>0</v>
      </c>
      <c r="AY5">
        <f>IF(分類!AZ5="","",分類!AZ5)</f>
        <v>0</v>
      </c>
      <c r="BD5">
        <f>IF(分類!BC5="","",分類!BC5)</f>
        <v>0</v>
      </c>
      <c r="BI5">
        <f>IF(分類!BF5="","",分類!BF5)</f>
        <v>0</v>
      </c>
      <c r="BN5">
        <f>IF(分類!BI5="","",分類!BI5)</f>
        <v>0</v>
      </c>
      <c r="ER5" s="87">
        <f>IF(分類!H5="","",分類!H5)</f>
        <v>1</v>
      </c>
      <c r="ES5" t="str">
        <f>IF(ER5="","",_xlfn.XLOOKUP(提出用書式!ER5,在庫取寄区分!$A:$A,在庫取寄区分!$B:$B,0))</f>
        <v>常時在庫品</v>
      </c>
      <c r="ET5" s="87" t="str">
        <f>IF(分類!BV5="","",分類!BV5)</f>
        <v/>
      </c>
      <c r="EW5" s="87" t="str">
        <f>IF(分類!BW5="","",分類!BW5)</f>
        <v/>
      </c>
      <c r="EX5" s="87" t="str">
        <f>IF(分類!BX5="","",分類!BX5)</f>
        <v/>
      </c>
      <c r="FB5" s="87" t="str">
        <f>IF(分類!BY5="","",分類!BY5)</f>
        <v/>
      </c>
    </row>
    <row r="6" spans="1:158" x14ac:dyDescent="0.4">
      <c r="C6" s="87" t="str">
        <f>IF(分類!P6="","",分類!P6)</f>
        <v>963161</v>
      </c>
      <c r="D6" t="str">
        <f>IF(C6="","",_xlfn.XLOOKUP(C6,ﾒｰｶｰCD!$A:$A,ﾒｰｶｰCD!$B:$B,0))</f>
        <v>ﾌﾛｰﾊﾞﾙ</v>
      </c>
      <c r="E6" s="87" t="str">
        <f>IF(分類!R6="","",分類!R6)</f>
        <v>MRRFNI1/4</v>
      </c>
      <c r="F6" s="87" t="str">
        <f>IF(分類!V6="","",分類!V6)</f>
        <v xml:space="preserve"> 黄銅ﾒｯｷ付 ﾘﾘｰﾌﾆｯﾌﾟﾙ PT1/4    </v>
      </c>
      <c r="G6" s="87" t="str">
        <f>IF(分類!AG6="","",分類!AG6)</f>
        <v xml:space="preserve">33201602 NRN-02K </v>
      </c>
      <c r="J6" s="87" t="str">
        <f>IF(分類!AK6="","",分類!AK6)</f>
        <v>01</v>
      </c>
      <c r="K6" t="str">
        <f>IF(J6="","",_xlfn.XLOOKUP(J6,単位CD!$A:$A,単位CD!$B:$B,0))</f>
        <v>ヶ</v>
      </c>
      <c r="M6" s="87">
        <f>IF(分類!BK6="","",分類!BK6)</f>
        <v>15</v>
      </c>
      <c r="N6" t="str">
        <f>IF(M6="","",_xlfn.XLOOKUP(M6,仕入先CD!$A:$A,仕入先CD!$B:$B,0))</f>
        <v>ﾌﾛｰﾊﾞﾙ</v>
      </c>
      <c r="Q6" s="87" t="str">
        <f>IF(分類!B6="","",分類!B6)</f>
        <v>T14</v>
      </c>
      <c r="R6" t="str">
        <f>IF(Q6="","",_xlfn.XLOOKUP(Q6,大分類!$A:$A,大分類!$B:$B,0))</f>
        <v>ｸﾞﾘｽﾆｯﾌﾟﾙ</v>
      </c>
      <c r="S6" s="87" t="str">
        <f>IF(分類!D6="","",分類!D6)</f>
        <v>T19</v>
      </c>
      <c r="T6" t="str">
        <f>IF(S6="","",_xlfn.XLOOKUP(S6,中分類!$A:$A,中分類!$B:$B,0))</f>
        <v>ﾒｯｷ</v>
      </c>
      <c r="U6" s="87" t="str">
        <f>IF(分類!F6="","",分類!F6)</f>
        <v>T51</v>
      </c>
      <c r="V6" t="str">
        <f>IF(U6="","",_xlfn.XLOOKUP(U6,小分類!$A:$A,小分類!$B:$B,0))</f>
        <v>ﾘﾘｰﾌﾆｯﾌﾟﾙ</v>
      </c>
      <c r="Z6" s="87">
        <f>IF(分類!AN6="","",分類!AN6)</f>
        <v>540</v>
      </c>
      <c r="AE6" s="87">
        <f>IF(分類!AM6="","",分類!AM6)</f>
        <v>281</v>
      </c>
      <c r="AJ6">
        <f>IF(分類!AS6="","",分類!AS6)</f>
        <v>0</v>
      </c>
      <c r="AO6">
        <f>IF(分類!AU6="","",分類!AU6)</f>
        <v>421</v>
      </c>
      <c r="AT6">
        <f>IF(分類!AW6="","",分類!AW6)</f>
        <v>0</v>
      </c>
      <c r="AY6">
        <f>IF(分類!AZ6="","",分類!AZ6)</f>
        <v>0</v>
      </c>
      <c r="BD6">
        <f>IF(分類!BC6="","",分類!BC6)</f>
        <v>0</v>
      </c>
      <c r="BI6">
        <f>IF(分類!BF6="","",分類!BF6)</f>
        <v>0</v>
      </c>
      <c r="BN6">
        <f>IF(分類!BI6="","",分類!BI6)</f>
        <v>0</v>
      </c>
      <c r="ER6" s="87">
        <f>IF(分類!H6="","",分類!H6)</f>
        <v>1</v>
      </c>
      <c r="ES6" t="str">
        <f>IF(ER6="","",_xlfn.XLOOKUP(提出用書式!ER6,在庫取寄区分!$A:$A,在庫取寄区分!$B:$B,0))</f>
        <v>常時在庫品</v>
      </c>
      <c r="ET6" s="87" t="str">
        <f>IF(分類!BV6="","",分類!BV6)</f>
        <v/>
      </c>
      <c r="EW6" s="87" t="str">
        <f>IF(分類!BW6="","",分類!BW6)</f>
        <v/>
      </c>
      <c r="EX6" s="87" t="str">
        <f>IF(分類!BX6="","",分類!BX6)</f>
        <v/>
      </c>
      <c r="FB6" s="87" t="str">
        <f>IF(分類!BY6="","",分類!BY6)</f>
        <v/>
      </c>
    </row>
    <row r="7" spans="1:158" x14ac:dyDescent="0.4">
      <c r="C7" s="87" t="str">
        <f>IF(分類!P7="","",分類!P7)</f>
        <v>963161</v>
      </c>
      <c r="D7" t="str">
        <f>IF(C7="","",_xlfn.XLOOKUP(C7,ﾒｰｶｰCD!$A:$A,ﾒｰｶｰCD!$B:$B,0))</f>
        <v>ﾌﾛｰﾊﾞﾙ</v>
      </c>
      <c r="E7" s="87" t="str">
        <f>IF(分類!R7="","",分類!R7)</f>
        <v>MRRFNI3/8</v>
      </c>
      <c r="F7" s="87" t="str">
        <f>IF(分類!V7="","",分類!V7)</f>
        <v xml:space="preserve"> 黄銅ﾒｯｷ付 ﾘﾘｰﾌﾆｯﾌﾟﾙ PT3/8    </v>
      </c>
      <c r="G7" s="87" t="str">
        <f>IF(分類!AG7="","",分類!AG7)</f>
        <v xml:space="preserve">33201603 NRN-03K </v>
      </c>
      <c r="J7" s="87" t="str">
        <f>IF(分類!AK7="","",分類!AK7)</f>
        <v>01</v>
      </c>
      <c r="K7" t="str">
        <f>IF(J7="","",_xlfn.XLOOKUP(J7,単位CD!$A:$A,単位CD!$B:$B,0))</f>
        <v>ヶ</v>
      </c>
      <c r="M7" s="87">
        <f>IF(分類!BK7="","",分類!BK7)</f>
        <v>15</v>
      </c>
      <c r="N7" t="str">
        <f>IF(M7="","",_xlfn.XLOOKUP(M7,仕入先CD!$A:$A,仕入先CD!$B:$B,0))</f>
        <v>ﾌﾛｰﾊﾞﾙ</v>
      </c>
      <c r="Q7" s="87" t="str">
        <f>IF(分類!B7="","",分類!B7)</f>
        <v>T14</v>
      </c>
      <c r="R7" t="str">
        <f>IF(Q7="","",_xlfn.XLOOKUP(Q7,大分類!$A:$A,大分類!$B:$B,0))</f>
        <v>ｸﾞﾘｽﾆｯﾌﾟﾙ</v>
      </c>
      <c r="S7" s="87" t="str">
        <f>IF(分類!D7="","",分類!D7)</f>
        <v>T19</v>
      </c>
      <c r="T7" t="str">
        <f>IF(S7="","",_xlfn.XLOOKUP(S7,中分類!$A:$A,中分類!$B:$B,0))</f>
        <v>ﾒｯｷ</v>
      </c>
      <c r="U7" s="87" t="str">
        <f>IF(分類!F7="","",分類!F7)</f>
        <v>T51</v>
      </c>
      <c r="V7" t="str">
        <f>IF(U7="","",_xlfn.XLOOKUP(U7,小分類!$A:$A,小分類!$B:$B,0))</f>
        <v>ﾘﾘｰﾌﾆｯﾌﾟﾙ</v>
      </c>
      <c r="Z7" s="87">
        <f>IF(分類!AN7="","",分類!AN7)</f>
        <v>890</v>
      </c>
      <c r="AE7" s="87">
        <f>IF(分類!AM7="","",分類!AM7)</f>
        <v>463</v>
      </c>
      <c r="AJ7">
        <f>IF(分類!AS7="","",分類!AS7)</f>
        <v>0</v>
      </c>
      <c r="AO7">
        <f>IF(分類!AU7="","",分類!AU7)</f>
        <v>694</v>
      </c>
      <c r="AT7">
        <f>IF(分類!AW7="","",分類!AW7)</f>
        <v>0</v>
      </c>
      <c r="AY7">
        <f>IF(分類!AZ7="","",分類!AZ7)</f>
        <v>0</v>
      </c>
      <c r="BD7">
        <f>IF(分類!BC7="","",分類!BC7)</f>
        <v>0</v>
      </c>
      <c r="BI7">
        <f>IF(分類!BF7="","",分類!BF7)</f>
        <v>0</v>
      </c>
      <c r="BN7">
        <f>IF(分類!BI7="","",分類!BI7)</f>
        <v>0</v>
      </c>
      <c r="ER7" s="87">
        <f>IF(分類!H7="","",分類!H7)</f>
        <v>1</v>
      </c>
      <c r="ES7" t="str">
        <f>IF(ER7="","",_xlfn.XLOOKUP(提出用書式!ER7,在庫取寄区分!$A:$A,在庫取寄区分!$B:$B,0))</f>
        <v>常時在庫品</v>
      </c>
      <c r="ET7" s="87" t="str">
        <f>IF(分類!BV7="","",分類!BV7)</f>
        <v/>
      </c>
      <c r="EW7" s="87" t="str">
        <f>IF(分類!BW7="","",分類!BW7)</f>
        <v/>
      </c>
      <c r="EX7" s="87" t="str">
        <f>IF(分類!BX7="","",分類!BX7)</f>
        <v/>
      </c>
      <c r="FB7" s="87" t="str">
        <f>IF(分類!BY7="","",分類!BY7)</f>
        <v/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8FC-8FBA-45D4-8BD8-9E3FEC83E111}">
  <dimension ref="A1:B151"/>
  <sheetViews>
    <sheetView topLeftCell="A46" workbookViewId="0">
      <selection activeCell="B8" sqref="B8"/>
    </sheetView>
  </sheetViews>
  <sheetFormatPr defaultRowHeight="18.75" x14ac:dyDescent="0.4"/>
  <cols>
    <col min="2" max="2" width="30" bestFit="1" customWidth="1"/>
  </cols>
  <sheetData>
    <row r="1" spans="1:2" x14ac:dyDescent="0.4">
      <c r="A1" s="94" t="s">
        <v>7</v>
      </c>
      <c r="B1" s="94" t="s">
        <v>886</v>
      </c>
    </row>
    <row r="2" spans="1:2" x14ac:dyDescent="0.4">
      <c r="A2" s="94" t="s">
        <v>997</v>
      </c>
      <c r="B2" s="94" t="s">
        <v>1041</v>
      </c>
    </row>
    <row r="3" spans="1:2" x14ac:dyDescent="0.4">
      <c r="A3" s="94" t="s">
        <v>998</v>
      </c>
      <c r="B3" s="94" t="s">
        <v>1042</v>
      </c>
    </row>
    <row r="4" spans="1:2" x14ac:dyDescent="0.4">
      <c r="A4" s="94" t="s">
        <v>999</v>
      </c>
      <c r="B4" s="94" t="s">
        <v>1043</v>
      </c>
    </row>
    <row r="5" spans="1:2" x14ac:dyDescent="0.4">
      <c r="A5" s="94" t="s">
        <v>1000</v>
      </c>
      <c r="B5" s="94" t="s">
        <v>1044</v>
      </c>
    </row>
    <row r="6" spans="1:2" x14ac:dyDescent="0.4">
      <c r="A6" s="94" t="s">
        <v>1001</v>
      </c>
      <c r="B6" s="94" t="s">
        <v>1002</v>
      </c>
    </row>
    <row r="7" spans="1:2" x14ac:dyDescent="0.4">
      <c r="A7" s="94" t="s">
        <v>1003</v>
      </c>
      <c r="B7" s="94" t="s">
        <v>1045</v>
      </c>
    </row>
    <row r="8" spans="1:2" x14ac:dyDescent="0.4">
      <c r="A8" s="94" t="s">
        <v>1004</v>
      </c>
      <c r="B8" s="94" t="s">
        <v>1046</v>
      </c>
    </row>
    <row r="9" spans="1:2" x14ac:dyDescent="0.4">
      <c r="A9" s="94" t="s">
        <v>1005</v>
      </c>
      <c r="B9" s="94" t="s">
        <v>1047</v>
      </c>
    </row>
    <row r="10" spans="1:2" x14ac:dyDescent="0.4">
      <c r="A10" s="94" t="s">
        <v>1006</v>
      </c>
      <c r="B10" s="94" t="s">
        <v>1048</v>
      </c>
    </row>
    <row r="11" spans="1:2" x14ac:dyDescent="0.4">
      <c r="A11" s="94" t="s">
        <v>1007</v>
      </c>
      <c r="B11" s="94" t="s">
        <v>1049</v>
      </c>
    </row>
    <row r="12" spans="1:2" x14ac:dyDescent="0.4">
      <c r="A12" s="94" t="s">
        <v>1008</v>
      </c>
      <c r="B12" s="94" t="s">
        <v>1050</v>
      </c>
    </row>
    <row r="13" spans="1:2" x14ac:dyDescent="0.4">
      <c r="A13" s="94" t="s">
        <v>1009</v>
      </c>
      <c r="B13" s="94" t="s">
        <v>1051</v>
      </c>
    </row>
    <row r="14" spans="1:2" x14ac:dyDescent="0.4">
      <c r="A14" s="94" t="s">
        <v>1010</v>
      </c>
      <c r="B14" s="94" t="s">
        <v>1011</v>
      </c>
    </row>
    <row r="15" spans="1:2" x14ac:dyDescent="0.4">
      <c r="A15" s="94" t="s">
        <v>964</v>
      </c>
      <c r="B15" s="94" t="s">
        <v>965</v>
      </c>
    </row>
    <row r="16" spans="1:2" x14ac:dyDescent="0.4">
      <c r="A16" s="94" t="s">
        <v>1052</v>
      </c>
      <c r="B16" s="94" t="s">
        <v>1053</v>
      </c>
    </row>
    <row r="17" spans="1:2" x14ac:dyDescent="0.4">
      <c r="A17" s="94" t="s">
        <v>1054</v>
      </c>
      <c r="B17" s="94" t="s">
        <v>1055</v>
      </c>
    </row>
    <row r="18" spans="1:2" x14ac:dyDescent="0.4">
      <c r="A18" s="94" t="s">
        <v>1056</v>
      </c>
      <c r="B18" s="94" t="s">
        <v>1057</v>
      </c>
    </row>
    <row r="19" spans="1:2" x14ac:dyDescent="0.4">
      <c r="A19" s="94" t="s">
        <v>1058</v>
      </c>
      <c r="B19" s="94" t="s">
        <v>1059</v>
      </c>
    </row>
    <row r="20" spans="1:2" x14ac:dyDescent="0.4">
      <c r="A20" s="94" t="s">
        <v>1060</v>
      </c>
      <c r="B20" s="94" t="s">
        <v>1061</v>
      </c>
    </row>
    <row r="21" spans="1:2" x14ac:dyDescent="0.4">
      <c r="A21" s="94" t="s">
        <v>1062</v>
      </c>
      <c r="B21" s="94" t="s">
        <v>1063</v>
      </c>
    </row>
    <row r="22" spans="1:2" x14ac:dyDescent="0.4">
      <c r="A22" s="94" t="s">
        <v>1064</v>
      </c>
      <c r="B22" s="94" t="s">
        <v>1065</v>
      </c>
    </row>
    <row r="23" spans="1:2" x14ac:dyDescent="0.4">
      <c r="A23" s="94" t="s">
        <v>1066</v>
      </c>
      <c r="B23" s="94" t="s">
        <v>1067</v>
      </c>
    </row>
    <row r="24" spans="1:2" x14ac:dyDescent="0.4">
      <c r="A24" s="94" t="s">
        <v>1068</v>
      </c>
      <c r="B24" s="94" t="s">
        <v>1069</v>
      </c>
    </row>
    <row r="25" spans="1:2" x14ac:dyDescent="0.4">
      <c r="A25" s="94" t="s">
        <v>1070</v>
      </c>
      <c r="B25" s="94" t="s">
        <v>1071</v>
      </c>
    </row>
    <row r="26" spans="1:2" x14ac:dyDescent="0.4">
      <c r="A26" s="94" t="s">
        <v>1072</v>
      </c>
      <c r="B26" s="94" t="s">
        <v>1073</v>
      </c>
    </row>
    <row r="27" spans="1:2" x14ac:dyDescent="0.4">
      <c r="A27" s="94" t="s">
        <v>1074</v>
      </c>
      <c r="B27" s="94" t="s">
        <v>1075</v>
      </c>
    </row>
    <row r="28" spans="1:2" x14ac:dyDescent="0.4">
      <c r="A28" s="94" t="s">
        <v>1076</v>
      </c>
      <c r="B28" s="94" t="s">
        <v>1077</v>
      </c>
    </row>
    <row r="29" spans="1:2" x14ac:dyDescent="0.4">
      <c r="A29" s="94" t="s">
        <v>1078</v>
      </c>
      <c r="B29" s="94" t="s">
        <v>1079</v>
      </c>
    </row>
    <row r="30" spans="1:2" x14ac:dyDescent="0.4">
      <c r="A30" s="94" t="s">
        <v>1080</v>
      </c>
      <c r="B30" s="94" t="s">
        <v>1081</v>
      </c>
    </row>
    <row r="31" spans="1:2" x14ac:dyDescent="0.4">
      <c r="A31" s="94" t="s">
        <v>1082</v>
      </c>
      <c r="B31" s="94" t="s">
        <v>1083</v>
      </c>
    </row>
    <row r="32" spans="1:2" x14ac:dyDescent="0.4">
      <c r="A32" s="94" t="s">
        <v>1084</v>
      </c>
      <c r="B32" s="94" t="s">
        <v>1085</v>
      </c>
    </row>
    <row r="33" spans="1:2" x14ac:dyDescent="0.4">
      <c r="A33" s="94" t="s">
        <v>1086</v>
      </c>
      <c r="B33" s="94" t="s">
        <v>1087</v>
      </c>
    </row>
    <row r="34" spans="1:2" x14ac:dyDescent="0.4">
      <c r="A34" s="94" t="s">
        <v>1088</v>
      </c>
      <c r="B34" s="94" t="s">
        <v>1089</v>
      </c>
    </row>
    <row r="35" spans="1:2" x14ac:dyDescent="0.4">
      <c r="A35" s="94" t="s">
        <v>1090</v>
      </c>
      <c r="B35" s="94" t="s">
        <v>1091</v>
      </c>
    </row>
    <row r="36" spans="1:2" x14ac:dyDescent="0.4">
      <c r="A36" s="94" t="s">
        <v>1092</v>
      </c>
      <c r="B36" s="94" t="s">
        <v>1093</v>
      </c>
    </row>
    <row r="37" spans="1:2" x14ac:dyDescent="0.4">
      <c r="A37" s="94" t="s">
        <v>1094</v>
      </c>
      <c r="B37" s="94" t="s">
        <v>1095</v>
      </c>
    </row>
    <row r="38" spans="1:2" x14ac:dyDescent="0.4">
      <c r="A38" s="94" t="s">
        <v>1096</v>
      </c>
      <c r="B38" s="94" t="s">
        <v>1097</v>
      </c>
    </row>
    <row r="39" spans="1:2" x14ac:dyDescent="0.4">
      <c r="A39" s="94" t="s">
        <v>1098</v>
      </c>
      <c r="B39" s="94" t="s">
        <v>1099</v>
      </c>
    </row>
    <row r="40" spans="1:2" x14ac:dyDescent="0.4">
      <c r="A40" s="94" t="s">
        <v>1100</v>
      </c>
      <c r="B40" s="94" t="s">
        <v>1101</v>
      </c>
    </row>
    <row r="41" spans="1:2" x14ac:dyDescent="0.4">
      <c r="A41" s="94" t="s">
        <v>1102</v>
      </c>
      <c r="B41" s="94" t="s">
        <v>1103</v>
      </c>
    </row>
    <row r="42" spans="1:2" x14ac:dyDescent="0.4">
      <c r="A42" s="94" t="s">
        <v>1104</v>
      </c>
      <c r="B42" s="94" t="s">
        <v>1105</v>
      </c>
    </row>
    <row r="43" spans="1:2" x14ac:dyDescent="0.4">
      <c r="A43" s="94" t="s">
        <v>1106</v>
      </c>
      <c r="B43" s="94" t="s">
        <v>1107</v>
      </c>
    </row>
    <row r="44" spans="1:2" x14ac:dyDescent="0.4">
      <c r="A44" s="94" t="s">
        <v>1108</v>
      </c>
      <c r="B44" s="94" t="s">
        <v>1109</v>
      </c>
    </row>
    <row r="45" spans="1:2" x14ac:dyDescent="0.4">
      <c r="A45" s="94" t="s">
        <v>1110</v>
      </c>
      <c r="B45" s="94" t="s">
        <v>1111</v>
      </c>
    </row>
    <row r="46" spans="1:2" x14ac:dyDescent="0.4">
      <c r="A46" s="94" t="s">
        <v>1112</v>
      </c>
      <c r="B46" s="94" t="s">
        <v>1113</v>
      </c>
    </row>
    <row r="47" spans="1:2" x14ac:dyDescent="0.4">
      <c r="A47" s="94" t="s">
        <v>1114</v>
      </c>
      <c r="B47" s="94" t="s">
        <v>1115</v>
      </c>
    </row>
    <row r="48" spans="1:2" x14ac:dyDescent="0.4">
      <c r="A48" s="94" t="s">
        <v>1116</v>
      </c>
      <c r="B48" s="94" t="s">
        <v>1117</v>
      </c>
    </row>
    <row r="49" spans="1:2" x14ac:dyDescent="0.4">
      <c r="A49" s="94" t="s">
        <v>1118</v>
      </c>
      <c r="B49" s="94" t="s">
        <v>1119</v>
      </c>
    </row>
    <row r="50" spans="1:2" x14ac:dyDescent="0.4">
      <c r="A50" s="94" t="s">
        <v>1120</v>
      </c>
      <c r="B50" s="94" t="s">
        <v>1121</v>
      </c>
    </row>
    <row r="51" spans="1:2" x14ac:dyDescent="0.4">
      <c r="A51" s="94" t="s">
        <v>1122</v>
      </c>
      <c r="B51" s="94" t="s">
        <v>1123</v>
      </c>
    </row>
    <row r="52" spans="1:2" x14ac:dyDescent="0.4">
      <c r="A52" s="94" t="s">
        <v>1124</v>
      </c>
      <c r="B52" s="94" t="s">
        <v>1125</v>
      </c>
    </row>
    <row r="53" spans="1:2" x14ac:dyDescent="0.4">
      <c r="A53" s="94" t="s">
        <v>1126</v>
      </c>
      <c r="B53" s="94" t="s">
        <v>1127</v>
      </c>
    </row>
    <row r="54" spans="1:2" x14ac:dyDescent="0.4">
      <c r="A54" s="94" t="s">
        <v>1128</v>
      </c>
      <c r="B54" s="94" t="s">
        <v>1129</v>
      </c>
    </row>
    <row r="55" spans="1:2" x14ac:dyDescent="0.4">
      <c r="A55" s="94" t="s">
        <v>1130</v>
      </c>
      <c r="B55" s="94" t="s">
        <v>1131</v>
      </c>
    </row>
    <row r="56" spans="1:2" x14ac:dyDescent="0.4">
      <c r="A56" s="94" t="s">
        <v>961</v>
      </c>
      <c r="B56" s="94" t="s">
        <v>1132</v>
      </c>
    </row>
    <row r="57" spans="1:2" x14ac:dyDescent="0.4">
      <c r="A57" s="94" t="s">
        <v>962</v>
      </c>
      <c r="B57" s="94" t="s">
        <v>1133</v>
      </c>
    </row>
    <row r="58" spans="1:2" x14ac:dyDescent="0.4">
      <c r="A58" s="94" t="s">
        <v>993</v>
      </c>
      <c r="B58" s="94" t="s">
        <v>995</v>
      </c>
    </row>
    <row r="59" spans="1:2" x14ac:dyDescent="0.4">
      <c r="A59" s="94" t="s">
        <v>1134</v>
      </c>
      <c r="B59" s="94" t="s">
        <v>1135</v>
      </c>
    </row>
    <row r="60" spans="1:2" x14ac:dyDescent="0.4">
      <c r="A60" s="94" t="s">
        <v>1136</v>
      </c>
      <c r="B60" s="94" t="s">
        <v>1137</v>
      </c>
    </row>
    <row r="61" spans="1:2" x14ac:dyDescent="0.4">
      <c r="A61" s="94" t="s">
        <v>1138</v>
      </c>
      <c r="B61" s="94" t="s">
        <v>1139</v>
      </c>
    </row>
    <row r="62" spans="1:2" x14ac:dyDescent="0.4">
      <c r="A62" s="94" t="s">
        <v>1140</v>
      </c>
      <c r="B62" s="94" t="s">
        <v>1141</v>
      </c>
    </row>
    <row r="63" spans="1:2" x14ac:dyDescent="0.4">
      <c r="A63" s="94" t="s">
        <v>1142</v>
      </c>
      <c r="B63" s="94" t="s">
        <v>1143</v>
      </c>
    </row>
    <row r="64" spans="1:2" x14ac:dyDescent="0.4">
      <c r="A64" s="94" t="s">
        <v>1144</v>
      </c>
      <c r="B64" s="94" t="s">
        <v>1145</v>
      </c>
    </row>
    <row r="65" spans="1:2" x14ac:dyDescent="0.4">
      <c r="A65" s="94" t="s">
        <v>1146</v>
      </c>
      <c r="B65" s="94" t="s">
        <v>1147</v>
      </c>
    </row>
    <row r="66" spans="1:2" x14ac:dyDescent="0.4">
      <c r="A66" s="94" t="s">
        <v>1148</v>
      </c>
      <c r="B66" s="94" t="s">
        <v>1135</v>
      </c>
    </row>
    <row r="67" spans="1:2" x14ac:dyDescent="0.4">
      <c r="A67" s="94" t="s">
        <v>1149</v>
      </c>
      <c r="B67" s="94" t="s">
        <v>1150</v>
      </c>
    </row>
    <row r="68" spans="1:2" x14ac:dyDescent="0.4">
      <c r="A68" s="94" t="s">
        <v>1151</v>
      </c>
      <c r="B68" s="94" t="s">
        <v>1152</v>
      </c>
    </row>
    <row r="69" spans="1:2" x14ac:dyDescent="0.4">
      <c r="A69" s="94" t="s">
        <v>1153</v>
      </c>
      <c r="B69" s="94" t="s">
        <v>1154</v>
      </c>
    </row>
    <row r="70" spans="1:2" ht="19.5" x14ac:dyDescent="0.4">
      <c r="A70" s="95" t="s">
        <v>1155</v>
      </c>
      <c r="B70" s="94" t="s">
        <v>1156</v>
      </c>
    </row>
    <row r="71" spans="1:2" ht="19.5" x14ac:dyDescent="0.4">
      <c r="A71" s="95" t="s">
        <v>1157</v>
      </c>
      <c r="B71" s="94" t="s">
        <v>1158</v>
      </c>
    </row>
    <row r="72" spans="1:2" ht="19.5" x14ac:dyDescent="0.4">
      <c r="A72" s="95" t="s">
        <v>1159</v>
      </c>
      <c r="B72" s="94" t="s">
        <v>1160</v>
      </c>
    </row>
    <row r="73" spans="1:2" ht="19.5" x14ac:dyDescent="0.4">
      <c r="A73" s="95" t="s">
        <v>1161</v>
      </c>
      <c r="B73" s="94" t="s">
        <v>1162</v>
      </c>
    </row>
    <row r="74" spans="1:2" ht="19.5" x14ac:dyDescent="0.4">
      <c r="A74" s="95" t="s">
        <v>1163</v>
      </c>
      <c r="B74" s="94" t="s">
        <v>1164</v>
      </c>
    </row>
    <row r="75" spans="1:2" ht="19.5" x14ac:dyDescent="0.4">
      <c r="A75" s="95" t="s">
        <v>1165</v>
      </c>
      <c r="B75" s="94" t="s">
        <v>1166</v>
      </c>
    </row>
    <row r="76" spans="1:2" ht="19.5" x14ac:dyDescent="0.4">
      <c r="A76" s="95" t="s">
        <v>1167</v>
      </c>
      <c r="B76" s="94" t="s">
        <v>1168</v>
      </c>
    </row>
    <row r="77" spans="1:2" ht="19.5" x14ac:dyDescent="0.4">
      <c r="A77" s="95" t="s">
        <v>1169</v>
      </c>
      <c r="B77" s="94" t="s">
        <v>1170</v>
      </c>
    </row>
    <row r="78" spans="1:2" ht="19.5" x14ac:dyDescent="0.4">
      <c r="A78" s="95" t="s">
        <v>1171</v>
      </c>
      <c r="B78" s="94" t="s">
        <v>1172</v>
      </c>
    </row>
    <row r="79" spans="1:2" ht="19.5" x14ac:dyDescent="0.4">
      <c r="A79" s="95" t="s">
        <v>1173</v>
      </c>
      <c r="B79" s="94" t="s">
        <v>1174</v>
      </c>
    </row>
    <row r="80" spans="1:2" ht="19.5" x14ac:dyDescent="0.4">
      <c r="A80" s="95" t="s">
        <v>1175</v>
      </c>
      <c r="B80" s="94" t="s">
        <v>1176</v>
      </c>
    </row>
    <row r="81" spans="1:2" ht="19.5" x14ac:dyDescent="0.4">
      <c r="A81" s="95" t="s">
        <v>1177</v>
      </c>
      <c r="B81" s="94" t="s">
        <v>1178</v>
      </c>
    </row>
    <row r="82" spans="1:2" ht="19.5" x14ac:dyDescent="0.4">
      <c r="A82" s="95" t="s">
        <v>1179</v>
      </c>
      <c r="B82" s="94" t="s">
        <v>1180</v>
      </c>
    </row>
    <row r="83" spans="1:2" ht="19.5" x14ac:dyDescent="0.4">
      <c r="A83" s="95" t="s">
        <v>1181</v>
      </c>
      <c r="B83" s="94" t="s">
        <v>1182</v>
      </c>
    </row>
    <row r="84" spans="1:2" ht="19.5" x14ac:dyDescent="0.4">
      <c r="A84" s="95" t="s">
        <v>1183</v>
      </c>
      <c r="B84" s="94" t="s">
        <v>1184</v>
      </c>
    </row>
    <row r="85" spans="1:2" ht="19.5" x14ac:dyDescent="0.4">
      <c r="A85" s="95" t="s">
        <v>1185</v>
      </c>
      <c r="B85" s="94" t="s">
        <v>1186</v>
      </c>
    </row>
    <row r="86" spans="1:2" ht="19.5" x14ac:dyDescent="0.4">
      <c r="A86" s="95" t="s">
        <v>1187</v>
      </c>
      <c r="B86" s="94" t="s">
        <v>1188</v>
      </c>
    </row>
    <row r="87" spans="1:2" ht="19.5" x14ac:dyDescent="0.4">
      <c r="A87" s="95" t="s">
        <v>1189</v>
      </c>
      <c r="B87" s="94" t="s">
        <v>1190</v>
      </c>
    </row>
    <row r="88" spans="1:2" ht="19.5" x14ac:dyDescent="0.4">
      <c r="A88" s="95" t="s">
        <v>1191</v>
      </c>
      <c r="B88" s="94" t="s">
        <v>1192</v>
      </c>
    </row>
    <row r="89" spans="1:2" ht="19.5" x14ac:dyDescent="0.4">
      <c r="A89" s="95" t="s">
        <v>1193</v>
      </c>
      <c r="B89" s="94" t="s">
        <v>1194</v>
      </c>
    </row>
    <row r="90" spans="1:2" ht="19.5" x14ac:dyDescent="0.4">
      <c r="A90" s="95" t="s">
        <v>1195</v>
      </c>
      <c r="B90" s="94" t="s">
        <v>1196</v>
      </c>
    </row>
    <row r="91" spans="1:2" ht="19.5" x14ac:dyDescent="0.4">
      <c r="A91" s="95" t="s">
        <v>1197</v>
      </c>
      <c r="B91" s="94" t="s">
        <v>1198</v>
      </c>
    </row>
    <row r="92" spans="1:2" ht="19.5" x14ac:dyDescent="0.4">
      <c r="A92" s="95" t="s">
        <v>1199</v>
      </c>
      <c r="B92" s="94" t="s">
        <v>1200</v>
      </c>
    </row>
    <row r="93" spans="1:2" ht="19.5" x14ac:dyDescent="0.4">
      <c r="A93" s="95" t="s">
        <v>1201</v>
      </c>
      <c r="B93" s="94" t="s">
        <v>1202</v>
      </c>
    </row>
    <row r="94" spans="1:2" ht="19.5" x14ac:dyDescent="0.4">
      <c r="A94" s="95" t="s">
        <v>1203</v>
      </c>
      <c r="B94" s="94" t="s">
        <v>1170</v>
      </c>
    </row>
    <row r="95" spans="1:2" ht="19.5" x14ac:dyDescent="0.4">
      <c r="A95" s="95" t="s">
        <v>1204</v>
      </c>
      <c r="B95" s="94" t="s">
        <v>1205</v>
      </c>
    </row>
    <row r="96" spans="1:2" ht="19.5" x14ac:dyDescent="0.4">
      <c r="A96" s="95" t="s">
        <v>1206</v>
      </c>
      <c r="B96" s="94" t="s">
        <v>1207</v>
      </c>
    </row>
    <row r="97" spans="1:2" ht="19.5" x14ac:dyDescent="0.4">
      <c r="A97" s="95" t="s">
        <v>1208</v>
      </c>
      <c r="B97" s="94" t="s">
        <v>1209</v>
      </c>
    </row>
    <row r="98" spans="1:2" ht="19.5" x14ac:dyDescent="0.4">
      <c r="A98" s="95" t="s">
        <v>1210</v>
      </c>
      <c r="B98" s="94" t="s">
        <v>1211</v>
      </c>
    </row>
    <row r="99" spans="1:2" ht="19.5" x14ac:dyDescent="0.4">
      <c r="A99" s="95" t="s">
        <v>1212</v>
      </c>
      <c r="B99" s="94" t="s">
        <v>1213</v>
      </c>
    </row>
    <row r="100" spans="1:2" ht="19.5" x14ac:dyDescent="0.4">
      <c r="A100" s="95" t="s">
        <v>330</v>
      </c>
      <c r="B100" s="94" t="s">
        <v>1214</v>
      </c>
    </row>
    <row r="101" spans="1:2" ht="19.5" x14ac:dyDescent="0.4">
      <c r="A101" s="95" t="s">
        <v>889</v>
      </c>
      <c r="B101" s="94" t="s">
        <v>1215</v>
      </c>
    </row>
    <row r="102" spans="1:2" ht="19.5" x14ac:dyDescent="0.4">
      <c r="A102" s="95" t="s">
        <v>1216</v>
      </c>
      <c r="B102" s="94" t="s">
        <v>1217</v>
      </c>
    </row>
    <row r="103" spans="1:2" ht="19.5" x14ac:dyDescent="0.4">
      <c r="A103" s="95" t="s">
        <v>1218</v>
      </c>
      <c r="B103" s="94" t="s">
        <v>1219</v>
      </c>
    </row>
    <row r="104" spans="1:2" ht="19.5" x14ac:dyDescent="0.4">
      <c r="A104" s="95" t="s">
        <v>1220</v>
      </c>
      <c r="B104" s="94" t="s">
        <v>1221</v>
      </c>
    </row>
    <row r="105" spans="1:2" ht="19.5" x14ac:dyDescent="0.4">
      <c r="A105" s="95" t="s">
        <v>1222</v>
      </c>
      <c r="B105" s="94" t="s">
        <v>1223</v>
      </c>
    </row>
    <row r="106" spans="1:2" ht="19.5" x14ac:dyDescent="0.4">
      <c r="A106" s="95" t="s">
        <v>1224</v>
      </c>
      <c r="B106" s="94" t="s">
        <v>1225</v>
      </c>
    </row>
    <row r="107" spans="1:2" ht="19.5" x14ac:dyDescent="0.4">
      <c r="A107" s="95" t="s">
        <v>1226</v>
      </c>
      <c r="B107" s="94" t="s">
        <v>1227</v>
      </c>
    </row>
    <row r="108" spans="1:2" ht="19.5" x14ac:dyDescent="0.4">
      <c r="A108" s="95" t="s">
        <v>1228</v>
      </c>
      <c r="B108" s="94" t="s">
        <v>1229</v>
      </c>
    </row>
    <row r="109" spans="1:2" ht="19.5" x14ac:dyDescent="0.4">
      <c r="A109" s="95" t="s">
        <v>1230</v>
      </c>
      <c r="B109" s="94" t="s">
        <v>1231</v>
      </c>
    </row>
    <row r="110" spans="1:2" x14ac:dyDescent="0.4">
      <c r="A110" s="94" t="s">
        <v>1232</v>
      </c>
      <c r="B110" s="94" t="s">
        <v>1233</v>
      </c>
    </row>
    <row r="111" spans="1:2" x14ac:dyDescent="0.4">
      <c r="A111" s="94" t="s">
        <v>1234</v>
      </c>
      <c r="B111" s="94" t="s">
        <v>1235</v>
      </c>
    </row>
    <row r="112" spans="1:2" x14ac:dyDescent="0.4">
      <c r="A112" s="94" t="s">
        <v>1236</v>
      </c>
      <c r="B112" s="94" t="s">
        <v>1237</v>
      </c>
    </row>
    <row r="113" spans="1:2" x14ac:dyDescent="0.4">
      <c r="A113" s="94" t="s">
        <v>1238</v>
      </c>
      <c r="B113" s="94" t="s">
        <v>1239</v>
      </c>
    </row>
    <row r="114" spans="1:2" x14ac:dyDescent="0.4">
      <c r="A114" s="94" t="s">
        <v>1240</v>
      </c>
      <c r="B114" s="94" t="s">
        <v>1241</v>
      </c>
    </row>
    <row r="115" spans="1:2" x14ac:dyDescent="0.4">
      <c r="A115" s="94" t="s">
        <v>1242</v>
      </c>
      <c r="B115" s="94" t="s">
        <v>1243</v>
      </c>
    </row>
    <row r="116" spans="1:2" x14ac:dyDescent="0.4">
      <c r="A116" s="94" t="s">
        <v>1244</v>
      </c>
      <c r="B116" s="94" t="s">
        <v>1245</v>
      </c>
    </row>
    <row r="117" spans="1:2" x14ac:dyDescent="0.4">
      <c r="A117" s="94" t="s">
        <v>1246</v>
      </c>
      <c r="B117" s="94" t="s">
        <v>1247</v>
      </c>
    </row>
    <row r="118" spans="1:2" x14ac:dyDescent="0.4">
      <c r="A118" s="94" t="s">
        <v>1248</v>
      </c>
      <c r="B118" s="94" t="s">
        <v>1249</v>
      </c>
    </row>
    <row r="119" spans="1:2" x14ac:dyDescent="0.4">
      <c r="A119" s="94" t="s">
        <v>1250</v>
      </c>
      <c r="B119" s="94" t="s">
        <v>1251</v>
      </c>
    </row>
    <row r="120" spans="1:2" x14ac:dyDescent="0.4">
      <c r="A120" s="94" t="s">
        <v>1252</v>
      </c>
      <c r="B120" s="94" t="s">
        <v>1253</v>
      </c>
    </row>
    <row r="121" spans="1:2" x14ac:dyDescent="0.4">
      <c r="A121" s="94" t="s">
        <v>1254</v>
      </c>
      <c r="B121" s="94" t="s">
        <v>1255</v>
      </c>
    </row>
    <row r="122" spans="1:2" x14ac:dyDescent="0.4">
      <c r="A122" s="94" t="s">
        <v>1256</v>
      </c>
      <c r="B122" s="94" t="s">
        <v>1257</v>
      </c>
    </row>
    <row r="123" spans="1:2" x14ac:dyDescent="0.4">
      <c r="A123" s="94" t="s">
        <v>1258</v>
      </c>
      <c r="B123" s="94" t="s">
        <v>1259</v>
      </c>
    </row>
    <row r="124" spans="1:2" x14ac:dyDescent="0.4">
      <c r="A124" s="94" t="s">
        <v>1260</v>
      </c>
      <c r="B124" s="94" t="s">
        <v>1261</v>
      </c>
    </row>
    <row r="125" spans="1:2" x14ac:dyDescent="0.4">
      <c r="A125" s="94" t="s">
        <v>1262</v>
      </c>
      <c r="B125" s="94" t="s">
        <v>1263</v>
      </c>
    </row>
    <row r="126" spans="1:2" x14ac:dyDescent="0.4">
      <c r="A126" s="94" t="s">
        <v>1264</v>
      </c>
      <c r="B126" s="94" t="s">
        <v>1265</v>
      </c>
    </row>
    <row r="127" spans="1:2" x14ac:dyDescent="0.4">
      <c r="A127" s="94" t="s">
        <v>1266</v>
      </c>
      <c r="B127" s="94" t="s">
        <v>1265</v>
      </c>
    </row>
    <row r="128" spans="1:2" x14ac:dyDescent="0.4">
      <c r="A128" s="94" t="s">
        <v>1267</v>
      </c>
      <c r="B128" s="94" t="s">
        <v>1268</v>
      </c>
    </row>
    <row r="129" spans="1:2" x14ac:dyDescent="0.4">
      <c r="A129" s="94" t="s">
        <v>1269</v>
      </c>
      <c r="B129" s="94" t="s">
        <v>1270</v>
      </c>
    </row>
    <row r="130" spans="1:2" x14ac:dyDescent="0.4">
      <c r="A130" s="94" t="s">
        <v>1271</v>
      </c>
      <c r="B130" s="94" t="s">
        <v>1272</v>
      </c>
    </row>
    <row r="131" spans="1:2" x14ac:dyDescent="0.4">
      <c r="A131" s="94" t="s">
        <v>1273</v>
      </c>
      <c r="B131" s="94" t="s">
        <v>1272</v>
      </c>
    </row>
    <row r="132" spans="1:2" x14ac:dyDescent="0.4">
      <c r="A132" s="94" t="s">
        <v>1274</v>
      </c>
      <c r="B132" s="94" t="s">
        <v>1272</v>
      </c>
    </row>
    <row r="133" spans="1:2" x14ac:dyDescent="0.4">
      <c r="A133" s="94" t="s">
        <v>1275</v>
      </c>
      <c r="B133" s="94" t="s">
        <v>1272</v>
      </c>
    </row>
    <row r="134" spans="1:2" x14ac:dyDescent="0.4">
      <c r="A134" s="94" t="s">
        <v>1276</v>
      </c>
      <c r="B134" s="94" t="s">
        <v>1277</v>
      </c>
    </row>
    <row r="135" spans="1:2" x14ac:dyDescent="0.4">
      <c r="A135" s="94" t="s">
        <v>1278</v>
      </c>
      <c r="B135" s="94" t="s">
        <v>1279</v>
      </c>
    </row>
    <row r="136" spans="1:2" x14ac:dyDescent="0.4">
      <c r="A136" s="94" t="s">
        <v>1280</v>
      </c>
      <c r="B136" s="94" t="s">
        <v>1281</v>
      </c>
    </row>
    <row r="137" spans="1:2" x14ac:dyDescent="0.4">
      <c r="A137" s="94" t="s">
        <v>1282</v>
      </c>
      <c r="B137" s="94" t="s">
        <v>1283</v>
      </c>
    </row>
    <row r="138" spans="1:2" x14ac:dyDescent="0.4">
      <c r="A138" s="94" t="s">
        <v>1284</v>
      </c>
      <c r="B138" s="94" t="s">
        <v>1285</v>
      </c>
    </row>
    <row r="139" spans="1:2" x14ac:dyDescent="0.4">
      <c r="A139" s="94" t="s">
        <v>1286</v>
      </c>
      <c r="B139" s="94" t="s">
        <v>1287</v>
      </c>
    </row>
    <row r="140" spans="1:2" x14ac:dyDescent="0.4">
      <c r="A140" s="94" t="s">
        <v>1288</v>
      </c>
      <c r="B140" s="94" t="s">
        <v>1289</v>
      </c>
    </row>
    <row r="141" spans="1:2" x14ac:dyDescent="0.4">
      <c r="A141" s="94" t="s">
        <v>1290</v>
      </c>
      <c r="B141" s="94" t="s">
        <v>1291</v>
      </c>
    </row>
    <row r="142" spans="1:2" x14ac:dyDescent="0.4">
      <c r="A142" s="94" t="s">
        <v>1292</v>
      </c>
      <c r="B142" s="94" t="s">
        <v>1293</v>
      </c>
    </row>
    <row r="143" spans="1:2" x14ac:dyDescent="0.4">
      <c r="A143" s="94" t="s">
        <v>1294</v>
      </c>
      <c r="B143" s="94" t="s">
        <v>1295</v>
      </c>
    </row>
    <row r="144" spans="1:2" x14ac:dyDescent="0.4">
      <c r="A144" s="94" t="s">
        <v>1296</v>
      </c>
      <c r="B144" s="94" t="s">
        <v>1297</v>
      </c>
    </row>
    <row r="145" spans="1:2" x14ac:dyDescent="0.4">
      <c r="A145" s="94" t="s">
        <v>1298</v>
      </c>
      <c r="B145" s="94" t="s">
        <v>1299</v>
      </c>
    </row>
    <row r="146" spans="1:2" x14ac:dyDescent="0.4">
      <c r="A146" s="94" t="s">
        <v>1300</v>
      </c>
      <c r="B146" s="94" t="s">
        <v>1301</v>
      </c>
    </row>
    <row r="147" spans="1:2" x14ac:dyDescent="0.4">
      <c r="A147" s="94" t="s">
        <v>1302</v>
      </c>
      <c r="B147" s="94" t="s">
        <v>1303</v>
      </c>
    </row>
    <row r="148" spans="1:2" x14ac:dyDescent="0.4">
      <c r="A148" s="94" t="s">
        <v>1304</v>
      </c>
      <c r="B148" s="94" t="s">
        <v>1305</v>
      </c>
    </row>
    <row r="149" spans="1:2" x14ac:dyDescent="0.4">
      <c r="A149" s="94" t="s">
        <v>1306</v>
      </c>
      <c r="B149" s="94" t="s">
        <v>1307</v>
      </c>
    </row>
    <row r="150" spans="1:2" x14ac:dyDescent="0.4">
      <c r="A150" s="94" t="s">
        <v>1308</v>
      </c>
      <c r="B150" s="94" t="s">
        <v>1309</v>
      </c>
    </row>
    <row r="151" spans="1:2" x14ac:dyDescent="0.4">
      <c r="A151" s="94" t="s">
        <v>1310</v>
      </c>
      <c r="B151" s="94" t="s">
        <v>1311</v>
      </c>
    </row>
  </sheetData>
  <autoFilter ref="A1:B151" xr:uid="{3D4A28FC-8FBA-45D4-8BD8-9E3FEC83E111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52D-4B3D-42F9-86D6-EE0E117CA08F}">
  <dimension ref="A1:B136"/>
  <sheetViews>
    <sheetView topLeftCell="A64" zoomScaleNormal="100" workbookViewId="0">
      <selection activeCell="B84" sqref="B84"/>
    </sheetView>
  </sheetViews>
  <sheetFormatPr defaultRowHeight="18.75" x14ac:dyDescent="0.4"/>
  <cols>
    <col min="2" max="2" width="10.25" bestFit="1" customWidth="1"/>
  </cols>
  <sheetData>
    <row r="1" spans="1:2" x14ac:dyDescent="0.4">
      <c r="A1" t="s">
        <v>7</v>
      </c>
      <c r="B1" t="s">
        <v>886</v>
      </c>
    </row>
    <row r="2" spans="1:2" x14ac:dyDescent="0.4">
      <c r="A2" t="s">
        <v>1298</v>
      </c>
      <c r="B2" t="s">
        <v>1451</v>
      </c>
    </row>
    <row r="3" spans="1:2" x14ac:dyDescent="0.4">
      <c r="A3" t="s">
        <v>1300</v>
      </c>
      <c r="B3" t="s">
        <v>1449</v>
      </c>
    </row>
    <row r="4" spans="1:2" x14ac:dyDescent="0.4">
      <c r="A4" t="s">
        <v>1052</v>
      </c>
      <c r="B4" t="s">
        <v>1326</v>
      </c>
    </row>
    <row r="5" spans="1:2" x14ac:dyDescent="0.4">
      <c r="A5" t="s">
        <v>1054</v>
      </c>
      <c r="B5" t="s">
        <v>954</v>
      </c>
    </row>
    <row r="6" spans="1:2" x14ac:dyDescent="0.4">
      <c r="A6" t="s">
        <v>1056</v>
      </c>
      <c r="B6" t="s">
        <v>1327</v>
      </c>
    </row>
    <row r="7" spans="1:2" x14ac:dyDescent="0.4">
      <c r="A7" t="s">
        <v>1058</v>
      </c>
      <c r="B7" t="s">
        <v>1328</v>
      </c>
    </row>
    <row r="8" spans="1:2" x14ac:dyDescent="0.4">
      <c r="A8" t="s">
        <v>1060</v>
      </c>
      <c r="B8" t="s">
        <v>1329</v>
      </c>
    </row>
    <row r="9" spans="1:2" x14ac:dyDescent="0.4">
      <c r="A9" t="s">
        <v>1062</v>
      </c>
      <c r="B9" t="s">
        <v>1330</v>
      </c>
    </row>
    <row r="10" spans="1:2" x14ac:dyDescent="0.4">
      <c r="A10" t="s">
        <v>1242</v>
      </c>
      <c r="B10" t="s">
        <v>1402</v>
      </c>
    </row>
    <row r="11" spans="1:2" x14ac:dyDescent="0.4">
      <c r="A11" t="s">
        <v>1244</v>
      </c>
      <c r="B11" t="s">
        <v>1392</v>
      </c>
    </row>
    <row r="12" spans="1:2" x14ac:dyDescent="0.4">
      <c r="A12" t="s">
        <v>330</v>
      </c>
      <c r="B12" t="s">
        <v>1393</v>
      </c>
    </row>
    <row r="13" spans="1:2" x14ac:dyDescent="0.4">
      <c r="A13" s="67" t="s">
        <v>3134</v>
      </c>
      <c r="B13" t="s">
        <v>3133</v>
      </c>
    </row>
    <row r="14" spans="1:2" x14ac:dyDescent="0.4">
      <c r="A14" t="s">
        <v>889</v>
      </c>
      <c r="B14" t="s">
        <v>1394</v>
      </c>
    </row>
    <row r="15" spans="1:2" x14ac:dyDescent="0.4">
      <c r="A15" t="s">
        <v>1216</v>
      </c>
      <c r="B15" t="s">
        <v>1395</v>
      </c>
    </row>
    <row r="16" spans="1:2" x14ac:dyDescent="0.4">
      <c r="A16" t="s">
        <v>1218</v>
      </c>
      <c r="B16" t="s">
        <v>1396</v>
      </c>
    </row>
    <row r="17" spans="1:2" x14ac:dyDescent="0.4">
      <c r="A17" t="s">
        <v>1220</v>
      </c>
      <c r="B17" t="s">
        <v>1397</v>
      </c>
    </row>
    <row r="18" spans="1:2" x14ac:dyDescent="0.4">
      <c r="A18" t="s">
        <v>1222</v>
      </c>
      <c r="B18" t="s">
        <v>1398</v>
      </c>
    </row>
    <row r="19" spans="1:2" x14ac:dyDescent="0.4">
      <c r="A19" t="s">
        <v>1224</v>
      </c>
      <c r="B19" t="s">
        <v>1399</v>
      </c>
    </row>
    <row r="20" spans="1:2" x14ac:dyDescent="0.4">
      <c r="A20" t="s">
        <v>1226</v>
      </c>
      <c r="B20" t="s">
        <v>1400</v>
      </c>
    </row>
    <row r="21" spans="1:2" x14ac:dyDescent="0.4">
      <c r="A21" t="s">
        <v>1228</v>
      </c>
      <c r="B21" t="s">
        <v>1401</v>
      </c>
    </row>
    <row r="22" spans="1:2" x14ac:dyDescent="0.4">
      <c r="A22" t="s">
        <v>961</v>
      </c>
      <c r="B22" t="s">
        <v>380</v>
      </c>
    </row>
    <row r="23" spans="1:2" x14ac:dyDescent="0.4">
      <c r="A23" t="s">
        <v>962</v>
      </c>
      <c r="B23" t="s">
        <v>1382</v>
      </c>
    </row>
    <row r="24" spans="1:2" x14ac:dyDescent="0.4">
      <c r="A24" t="s">
        <v>993</v>
      </c>
      <c r="B24" t="s">
        <v>1383</v>
      </c>
    </row>
    <row r="25" spans="1:2" x14ac:dyDescent="0.4">
      <c r="A25" t="s">
        <v>1296</v>
      </c>
      <c r="B25" t="s">
        <v>1450</v>
      </c>
    </row>
    <row r="26" spans="1:2" x14ac:dyDescent="0.4">
      <c r="A26" t="s">
        <v>1096</v>
      </c>
      <c r="B26" t="s">
        <v>508</v>
      </c>
    </row>
    <row r="27" spans="1:2" x14ac:dyDescent="0.4">
      <c r="A27" t="s">
        <v>1098</v>
      </c>
      <c r="B27" t="s">
        <v>1331</v>
      </c>
    </row>
    <row r="28" spans="1:2" x14ac:dyDescent="0.4">
      <c r="A28" t="s">
        <v>1100</v>
      </c>
      <c r="B28" t="s">
        <v>1332</v>
      </c>
    </row>
    <row r="29" spans="1:2" x14ac:dyDescent="0.4">
      <c r="A29" t="s">
        <v>1333</v>
      </c>
      <c r="B29" t="s">
        <v>1334</v>
      </c>
    </row>
    <row r="30" spans="1:2" x14ac:dyDescent="0.4">
      <c r="A30" t="s">
        <v>1122</v>
      </c>
      <c r="B30" t="s">
        <v>1342</v>
      </c>
    </row>
    <row r="31" spans="1:2" x14ac:dyDescent="0.4">
      <c r="A31" t="s">
        <v>1124</v>
      </c>
      <c r="B31" t="s">
        <v>1343</v>
      </c>
    </row>
    <row r="32" spans="1:2" x14ac:dyDescent="0.4">
      <c r="A32" t="s">
        <v>1126</v>
      </c>
      <c r="B32" t="s">
        <v>1344</v>
      </c>
    </row>
    <row r="33" spans="1:2" x14ac:dyDescent="0.4">
      <c r="A33" t="s">
        <v>1128</v>
      </c>
      <c r="B33" t="s">
        <v>1345</v>
      </c>
    </row>
    <row r="34" spans="1:2" x14ac:dyDescent="0.4">
      <c r="A34" t="s">
        <v>1130</v>
      </c>
      <c r="B34" t="s">
        <v>1346</v>
      </c>
    </row>
    <row r="35" spans="1:2" x14ac:dyDescent="0.4">
      <c r="A35" t="s">
        <v>1347</v>
      </c>
      <c r="B35" t="s">
        <v>1348</v>
      </c>
    </row>
    <row r="36" spans="1:2" x14ac:dyDescent="0.4">
      <c r="A36" t="s">
        <v>1349</v>
      </c>
      <c r="B36" t="s">
        <v>1350</v>
      </c>
    </row>
    <row r="37" spans="1:2" x14ac:dyDescent="0.4">
      <c r="A37" t="s">
        <v>1351</v>
      </c>
      <c r="B37" t="s">
        <v>1352</v>
      </c>
    </row>
    <row r="38" spans="1:2" x14ac:dyDescent="0.4">
      <c r="A38" t="s">
        <v>1353</v>
      </c>
      <c r="B38" t="s">
        <v>1354</v>
      </c>
    </row>
    <row r="39" spans="1:2" x14ac:dyDescent="0.4">
      <c r="A39" t="s">
        <v>1355</v>
      </c>
      <c r="B39" t="s">
        <v>380</v>
      </c>
    </row>
    <row r="40" spans="1:2" x14ac:dyDescent="0.4">
      <c r="A40" t="s">
        <v>1106</v>
      </c>
      <c r="B40" t="s">
        <v>1335</v>
      </c>
    </row>
    <row r="41" spans="1:2" x14ac:dyDescent="0.4">
      <c r="A41" t="s">
        <v>1356</v>
      </c>
      <c r="B41" t="s">
        <v>1357</v>
      </c>
    </row>
    <row r="42" spans="1:2" x14ac:dyDescent="0.4">
      <c r="A42" t="s">
        <v>1358</v>
      </c>
      <c r="B42" t="s">
        <v>1359</v>
      </c>
    </row>
    <row r="43" spans="1:2" x14ac:dyDescent="0.4">
      <c r="A43" t="s">
        <v>1360</v>
      </c>
      <c r="B43" t="s">
        <v>1361</v>
      </c>
    </row>
    <row r="44" spans="1:2" x14ac:dyDescent="0.4">
      <c r="A44" t="s">
        <v>1362</v>
      </c>
      <c r="B44" t="s">
        <v>1363</v>
      </c>
    </row>
    <row r="45" spans="1:2" x14ac:dyDescent="0.4">
      <c r="A45" t="s">
        <v>1364</v>
      </c>
      <c r="B45" t="s">
        <v>1365</v>
      </c>
    </row>
    <row r="46" spans="1:2" x14ac:dyDescent="0.4">
      <c r="A46" t="s">
        <v>1366</v>
      </c>
      <c r="B46" t="s">
        <v>1367</v>
      </c>
    </row>
    <row r="47" spans="1:2" x14ac:dyDescent="0.4">
      <c r="A47" t="s">
        <v>1368</v>
      </c>
      <c r="B47" t="s">
        <v>1369</v>
      </c>
    </row>
    <row r="48" spans="1:2" x14ac:dyDescent="0.4">
      <c r="A48" t="s">
        <v>1370</v>
      </c>
      <c r="B48" t="s">
        <v>1371</v>
      </c>
    </row>
    <row r="49" spans="1:2" x14ac:dyDescent="0.4">
      <c r="A49" t="s">
        <v>1372</v>
      </c>
      <c r="B49" t="s">
        <v>1373</v>
      </c>
    </row>
    <row r="50" spans="1:2" x14ac:dyDescent="0.4">
      <c r="A50" t="s">
        <v>1374</v>
      </c>
      <c r="B50" t="s">
        <v>1375</v>
      </c>
    </row>
    <row r="51" spans="1:2" x14ac:dyDescent="0.4">
      <c r="A51" t="s">
        <v>1108</v>
      </c>
      <c r="B51" t="s">
        <v>1336</v>
      </c>
    </row>
    <row r="52" spans="1:2" x14ac:dyDescent="0.4">
      <c r="A52" t="s">
        <v>1376</v>
      </c>
      <c r="B52" t="s">
        <v>1377</v>
      </c>
    </row>
    <row r="53" spans="1:2" x14ac:dyDescent="0.4">
      <c r="A53" t="s">
        <v>1378</v>
      </c>
      <c r="B53" t="s">
        <v>1379</v>
      </c>
    </row>
    <row r="54" spans="1:2" x14ac:dyDescent="0.4">
      <c r="A54" t="s">
        <v>1380</v>
      </c>
      <c r="B54" t="s">
        <v>1381</v>
      </c>
    </row>
    <row r="55" spans="1:2" x14ac:dyDescent="0.4">
      <c r="A55" t="s">
        <v>1110</v>
      </c>
      <c r="B55" t="s">
        <v>1337</v>
      </c>
    </row>
    <row r="56" spans="1:2" x14ac:dyDescent="0.4">
      <c r="A56" t="s">
        <v>1112</v>
      </c>
      <c r="B56" t="s">
        <v>1338</v>
      </c>
    </row>
    <row r="57" spans="1:2" x14ac:dyDescent="0.4">
      <c r="A57" t="s">
        <v>1114</v>
      </c>
      <c r="B57" t="s">
        <v>1339</v>
      </c>
    </row>
    <row r="58" spans="1:2" x14ac:dyDescent="0.4">
      <c r="A58" t="s">
        <v>1116</v>
      </c>
      <c r="B58" t="s">
        <v>1340</v>
      </c>
    </row>
    <row r="59" spans="1:2" x14ac:dyDescent="0.4">
      <c r="A59" t="s">
        <v>1118</v>
      </c>
      <c r="B59" t="s">
        <v>1341</v>
      </c>
    </row>
    <row r="60" spans="1:2" x14ac:dyDescent="0.4">
      <c r="A60" t="s">
        <v>1120</v>
      </c>
      <c r="B60" t="s">
        <v>417</v>
      </c>
    </row>
    <row r="61" spans="1:2" x14ac:dyDescent="0.4">
      <c r="A61" t="s">
        <v>1212</v>
      </c>
      <c r="B61" t="s">
        <v>1384</v>
      </c>
    </row>
    <row r="62" spans="1:2" x14ac:dyDescent="0.4">
      <c r="A62" t="s">
        <v>1385</v>
      </c>
      <c r="B62" t="s">
        <v>1320</v>
      </c>
    </row>
    <row r="63" spans="1:2" x14ac:dyDescent="0.4">
      <c r="A63" t="s">
        <v>1386</v>
      </c>
      <c r="B63" t="s">
        <v>891</v>
      </c>
    </row>
    <row r="64" spans="1:2" x14ac:dyDescent="0.4">
      <c r="A64" t="s">
        <v>1387</v>
      </c>
      <c r="B64" t="s">
        <v>1388</v>
      </c>
    </row>
    <row r="65" spans="1:2" x14ac:dyDescent="0.4">
      <c r="A65" t="s">
        <v>1389</v>
      </c>
      <c r="B65" t="s">
        <v>1390</v>
      </c>
    </row>
    <row r="66" spans="1:2" x14ac:dyDescent="0.4">
      <c r="A66" t="s">
        <v>1391</v>
      </c>
      <c r="B66" t="s">
        <v>1392</v>
      </c>
    </row>
    <row r="67" spans="1:2" x14ac:dyDescent="0.4">
      <c r="A67" t="s">
        <v>1258</v>
      </c>
      <c r="B67" t="s">
        <v>417</v>
      </c>
    </row>
    <row r="68" spans="1:2" x14ac:dyDescent="0.4">
      <c r="A68" t="s">
        <v>1444</v>
      </c>
      <c r="B68" t="s">
        <v>1445</v>
      </c>
    </row>
    <row r="69" spans="1:2" x14ac:dyDescent="0.4">
      <c r="A69" t="s">
        <v>1304</v>
      </c>
      <c r="B69" t="s">
        <v>1452</v>
      </c>
    </row>
    <row r="70" spans="1:2" x14ac:dyDescent="0.4">
      <c r="A70" t="s">
        <v>1278</v>
      </c>
      <c r="B70" t="s">
        <v>1447</v>
      </c>
    </row>
    <row r="71" spans="1:2" x14ac:dyDescent="0.4">
      <c r="A71" t="s">
        <v>1250</v>
      </c>
      <c r="B71" t="s">
        <v>1327</v>
      </c>
    </row>
    <row r="72" spans="1:2" x14ac:dyDescent="0.4">
      <c r="A72" t="s">
        <v>1430</v>
      </c>
      <c r="B72" t="s">
        <v>891</v>
      </c>
    </row>
    <row r="73" spans="1:2" x14ac:dyDescent="0.4">
      <c r="A73" t="s">
        <v>1431</v>
      </c>
      <c r="B73" t="s">
        <v>1432</v>
      </c>
    </row>
    <row r="74" spans="1:2" x14ac:dyDescent="0.4">
      <c r="A74" t="s">
        <v>1248</v>
      </c>
      <c r="B74" t="s">
        <v>1322</v>
      </c>
    </row>
    <row r="75" spans="1:2" x14ac:dyDescent="0.4">
      <c r="A75" t="s">
        <v>1403</v>
      </c>
      <c r="B75" t="s">
        <v>1321</v>
      </c>
    </row>
    <row r="76" spans="1:2" x14ac:dyDescent="0.4">
      <c r="A76" t="s">
        <v>1404</v>
      </c>
      <c r="B76" t="s">
        <v>1405</v>
      </c>
    </row>
    <row r="77" spans="1:2" x14ac:dyDescent="0.4">
      <c r="A77" t="s">
        <v>1406</v>
      </c>
      <c r="B77" t="s">
        <v>954</v>
      </c>
    </row>
    <row r="78" spans="1:2" x14ac:dyDescent="0.4">
      <c r="A78" t="s">
        <v>1407</v>
      </c>
      <c r="B78" t="s">
        <v>1408</v>
      </c>
    </row>
    <row r="79" spans="1:2" x14ac:dyDescent="0.4">
      <c r="A79" t="s">
        <v>1409</v>
      </c>
      <c r="B79" t="s">
        <v>1410</v>
      </c>
    </row>
    <row r="80" spans="1:2" x14ac:dyDescent="0.4">
      <c r="A80" t="s">
        <v>1411</v>
      </c>
      <c r="B80" t="s">
        <v>1412</v>
      </c>
    </row>
    <row r="81" spans="1:2" x14ac:dyDescent="0.4">
      <c r="A81" t="s">
        <v>1413</v>
      </c>
      <c r="B81" t="s">
        <v>1414</v>
      </c>
    </row>
    <row r="82" spans="1:2" x14ac:dyDescent="0.4">
      <c r="A82" t="s">
        <v>1415</v>
      </c>
      <c r="B82" t="s">
        <v>1416</v>
      </c>
    </row>
    <row r="83" spans="1:2" x14ac:dyDescent="0.4">
      <c r="A83" t="s">
        <v>1260</v>
      </c>
      <c r="B83" t="s">
        <v>1417</v>
      </c>
    </row>
    <row r="84" spans="1:2" x14ac:dyDescent="0.4">
      <c r="A84" t="s">
        <v>1418</v>
      </c>
      <c r="B84" t="s">
        <v>1419</v>
      </c>
    </row>
    <row r="85" spans="1:2" x14ac:dyDescent="0.4">
      <c r="A85" t="s">
        <v>1420</v>
      </c>
      <c r="B85" t="s">
        <v>1421</v>
      </c>
    </row>
    <row r="86" spans="1:2" x14ac:dyDescent="0.4">
      <c r="A86" t="s">
        <v>1422</v>
      </c>
      <c r="B86" t="s">
        <v>1423</v>
      </c>
    </row>
    <row r="87" spans="1:2" x14ac:dyDescent="0.4">
      <c r="A87" t="s">
        <v>1424</v>
      </c>
      <c r="B87" t="s">
        <v>1425</v>
      </c>
    </row>
    <row r="88" spans="1:2" x14ac:dyDescent="0.4">
      <c r="A88" t="s">
        <v>1426</v>
      </c>
      <c r="B88" t="s">
        <v>1427</v>
      </c>
    </row>
    <row r="89" spans="1:2" x14ac:dyDescent="0.4">
      <c r="A89" t="s">
        <v>1428</v>
      </c>
      <c r="B89" t="s">
        <v>1429</v>
      </c>
    </row>
    <row r="90" spans="1:2" x14ac:dyDescent="0.4">
      <c r="A90" t="s">
        <v>1252</v>
      </c>
      <c r="B90" t="s">
        <v>1433</v>
      </c>
    </row>
    <row r="91" spans="1:2" x14ac:dyDescent="0.4">
      <c r="A91" t="s">
        <v>1254</v>
      </c>
      <c r="B91" t="s">
        <v>1434</v>
      </c>
    </row>
    <row r="92" spans="1:2" x14ac:dyDescent="0.4">
      <c r="A92" t="s">
        <v>1256</v>
      </c>
      <c r="B92" t="s">
        <v>1435</v>
      </c>
    </row>
    <row r="93" spans="1:2" x14ac:dyDescent="0.4">
      <c r="A93" t="s">
        <v>1436</v>
      </c>
      <c r="B93" t="s">
        <v>1437</v>
      </c>
    </row>
    <row r="94" spans="1:2" x14ac:dyDescent="0.4">
      <c r="A94" t="s">
        <v>1438</v>
      </c>
      <c r="B94" t="s">
        <v>1439</v>
      </c>
    </row>
    <row r="95" spans="1:2" x14ac:dyDescent="0.4">
      <c r="A95" t="s">
        <v>1440</v>
      </c>
      <c r="B95" t="s">
        <v>1441</v>
      </c>
    </row>
    <row r="96" spans="1:2" x14ac:dyDescent="0.4">
      <c r="A96" t="s">
        <v>1442</v>
      </c>
      <c r="B96" t="s">
        <v>1443</v>
      </c>
    </row>
    <row r="97" spans="1:2" x14ac:dyDescent="0.4">
      <c r="A97" t="s">
        <v>997</v>
      </c>
      <c r="B97" t="s">
        <v>1312</v>
      </c>
    </row>
    <row r="98" spans="1:2" x14ac:dyDescent="0.4">
      <c r="A98" t="s">
        <v>1007</v>
      </c>
      <c r="B98" t="s">
        <v>417</v>
      </c>
    </row>
    <row r="99" spans="1:2" x14ac:dyDescent="0.4">
      <c r="A99" t="s">
        <v>1008</v>
      </c>
      <c r="B99" t="s">
        <v>1316</v>
      </c>
    </row>
    <row r="100" spans="1:2" x14ac:dyDescent="0.4">
      <c r="A100" t="s">
        <v>1009</v>
      </c>
      <c r="B100" t="s">
        <v>1317</v>
      </c>
    </row>
    <row r="101" spans="1:2" x14ac:dyDescent="0.4">
      <c r="A101" t="s">
        <v>1010</v>
      </c>
      <c r="B101" t="s">
        <v>508</v>
      </c>
    </row>
    <row r="102" spans="1:2" x14ac:dyDescent="0.4">
      <c r="A102" t="s">
        <v>964</v>
      </c>
      <c r="B102" t="s">
        <v>1015</v>
      </c>
    </row>
    <row r="103" spans="1:2" x14ac:dyDescent="0.4">
      <c r="A103" t="s">
        <v>1016</v>
      </c>
      <c r="B103" t="s">
        <v>1318</v>
      </c>
    </row>
    <row r="104" spans="1:2" x14ac:dyDescent="0.4">
      <c r="A104" t="s">
        <v>1017</v>
      </c>
      <c r="B104" t="s">
        <v>1319</v>
      </c>
    </row>
    <row r="105" spans="1:2" x14ac:dyDescent="0.4">
      <c r="A105" t="s">
        <v>1018</v>
      </c>
      <c r="B105" t="s">
        <v>1019</v>
      </c>
    </row>
    <row r="106" spans="1:2" x14ac:dyDescent="0.4">
      <c r="A106" t="s">
        <v>1020</v>
      </c>
      <c r="B106" t="s">
        <v>1320</v>
      </c>
    </row>
    <row r="107" spans="1:2" x14ac:dyDescent="0.4">
      <c r="A107" t="s">
        <v>970</v>
      </c>
      <c r="B107" t="s">
        <v>994</v>
      </c>
    </row>
    <row r="108" spans="1:2" x14ac:dyDescent="0.4">
      <c r="A108" t="s">
        <v>998</v>
      </c>
      <c r="B108" t="s">
        <v>1313</v>
      </c>
    </row>
    <row r="109" spans="1:2" x14ac:dyDescent="0.4">
      <c r="A109" t="s">
        <v>1021</v>
      </c>
      <c r="B109" t="s">
        <v>1321</v>
      </c>
    </row>
    <row r="110" spans="1:2" x14ac:dyDescent="0.4">
      <c r="A110" t="s">
        <v>1022</v>
      </c>
      <c r="B110" t="s">
        <v>1322</v>
      </c>
    </row>
    <row r="111" spans="1:2" x14ac:dyDescent="0.4">
      <c r="A111" t="s">
        <v>1025</v>
      </c>
      <c r="B111" t="s">
        <v>1023</v>
      </c>
    </row>
    <row r="112" spans="1:2" x14ac:dyDescent="0.4">
      <c r="A112" t="s">
        <v>1024</v>
      </c>
      <c r="B112" t="s">
        <v>1323</v>
      </c>
    </row>
    <row r="113" spans="1:2" x14ac:dyDescent="0.4">
      <c r="A113" t="s">
        <v>1026</v>
      </c>
      <c r="B113" t="s">
        <v>1324</v>
      </c>
    </row>
    <row r="114" spans="1:2" x14ac:dyDescent="0.4">
      <c r="A114" t="s">
        <v>1027</v>
      </c>
      <c r="B114" t="s">
        <v>1028</v>
      </c>
    </row>
    <row r="115" spans="1:2" x14ac:dyDescent="0.4">
      <c r="A115" t="s">
        <v>1029</v>
      </c>
      <c r="B115" t="s">
        <v>996</v>
      </c>
    </row>
    <row r="116" spans="1:2" x14ac:dyDescent="0.4">
      <c r="A116" t="s">
        <v>1030</v>
      </c>
      <c r="B116" t="s">
        <v>1031</v>
      </c>
    </row>
    <row r="117" spans="1:2" x14ac:dyDescent="0.4">
      <c r="A117" t="s">
        <v>1032</v>
      </c>
      <c r="B117" t="s">
        <v>1033</v>
      </c>
    </row>
    <row r="118" spans="1:2" x14ac:dyDescent="0.4">
      <c r="A118" t="s">
        <v>1034</v>
      </c>
      <c r="B118" t="s">
        <v>1035</v>
      </c>
    </row>
    <row r="119" spans="1:2" x14ac:dyDescent="0.4">
      <c r="A119" t="s">
        <v>999</v>
      </c>
      <c r="B119" t="s">
        <v>955</v>
      </c>
    </row>
    <row r="120" spans="1:2" x14ac:dyDescent="0.4">
      <c r="A120" t="s">
        <v>1036</v>
      </c>
      <c r="B120" t="s">
        <v>1037</v>
      </c>
    </row>
    <row r="121" spans="1:2" x14ac:dyDescent="0.4">
      <c r="A121" t="s">
        <v>1038</v>
      </c>
      <c r="B121" t="s">
        <v>1325</v>
      </c>
    </row>
    <row r="122" spans="1:2" x14ac:dyDescent="0.4">
      <c r="A122" t="s">
        <v>1039</v>
      </c>
      <c r="B122" t="s">
        <v>1040</v>
      </c>
    </row>
    <row r="123" spans="1:2" x14ac:dyDescent="0.4">
      <c r="A123" t="s">
        <v>2733</v>
      </c>
      <c r="B123" t="s">
        <v>2734</v>
      </c>
    </row>
    <row r="124" spans="1:2" x14ac:dyDescent="0.4">
      <c r="A124" t="s">
        <v>2735</v>
      </c>
      <c r="B124" t="s">
        <v>2736</v>
      </c>
    </row>
    <row r="125" spans="1:2" x14ac:dyDescent="0.4">
      <c r="A125" t="s">
        <v>2750</v>
      </c>
      <c r="B125" t="s">
        <v>2751</v>
      </c>
    </row>
    <row r="126" spans="1:2" x14ac:dyDescent="0.4">
      <c r="A126" t="s">
        <v>1000</v>
      </c>
      <c r="B126" t="s">
        <v>891</v>
      </c>
    </row>
    <row r="127" spans="1:2" x14ac:dyDescent="0.4">
      <c r="A127" t="s">
        <v>1001</v>
      </c>
      <c r="B127" t="s">
        <v>1012</v>
      </c>
    </row>
    <row r="128" spans="1:2" x14ac:dyDescent="0.4">
      <c r="A128" t="s">
        <v>1003</v>
      </c>
      <c r="B128" t="s">
        <v>1013</v>
      </c>
    </row>
    <row r="129" spans="1:2" x14ac:dyDescent="0.4">
      <c r="A129" t="s">
        <v>1004</v>
      </c>
      <c r="B129" t="s">
        <v>1014</v>
      </c>
    </row>
    <row r="130" spans="1:2" x14ac:dyDescent="0.4">
      <c r="A130" t="s">
        <v>1005</v>
      </c>
      <c r="B130" t="s">
        <v>1314</v>
      </c>
    </row>
    <row r="131" spans="1:2" x14ac:dyDescent="0.4">
      <c r="A131" t="s">
        <v>1006</v>
      </c>
      <c r="B131" t="s">
        <v>1315</v>
      </c>
    </row>
    <row r="132" spans="1:2" x14ac:dyDescent="0.4">
      <c r="A132" t="s">
        <v>1276</v>
      </c>
      <c r="B132" t="s">
        <v>1446</v>
      </c>
    </row>
    <row r="133" spans="1:2" x14ac:dyDescent="0.4">
      <c r="A133" t="s">
        <v>1280</v>
      </c>
      <c r="B133" t="s">
        <v>1448</v>
      </c>
    </row>
    <row r="134" spans="1:2" x14ac:dyDescent="0.4">
      <c r="A134" t="s">
        <v>1282</v>
      </c>
      <c r="B134" t="s">
        <v>1449</v>
      </c>
    </row>
    <row r="135" spans="1:2" x14ac:dyDescent="0.4">
      <c r="A135" t="s">
        <v>3165</v>
      </c>
      <c r="B135" t="s">
        <v>3164</v>
      </c>
    </row>
    <row r="136" spans="1:2" x14ac:dyDescent="0.4">
      <c r="A136" t="s">
        <v>3166</v>
      </c>
      <c r="B136" t="s">
        <v>3167</v>
      </c>
    </row>
  </sheetData>
  <autoFilter ref="A1:B134" xr:uid="{56A4252D-4B3D-42F9-86D6-EE0E117CA08F}">
    <sortState xmlns:xlrd2="http://schemas.microsoft.com/office/spreadsheetml/2017/richdata2" ref="A2:B135">
      <sortCondition ref="A1:A134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277-3689-4E73-8244-4B43B83448A1}">
  <dimension ref="A1:B488"/>
  <sheetViews>
    <sheetView topLeftCell="A238" workbookViewId="0">
      <selection activeCell="B243" sqref="B243:B251"/>
    </sheetView>
  </sheetViews>
  <sheetFormatPr defaultRowHeight="18.75" x14ac:dyDescent="0.4"/>
  <sheetData>
    <row r="1" spans="1:2" x14ac:dyDescent="0.4">
      <c r="A1" t="s">
        <v>7</v>
      </c>
      <c r="B1" t="s">
        <v>886</v>
      </c>
    </row>
    <row r="2" spans="1:2" ht="19.5" x14ac:dyDescent="0.4">
      <c r="A2" s="106" t="s">
        <v>1298</v>
      </c>
      <c r="B2" s="106" t="s">
        <v>2024</v>
      </c>
    </row>
    <row r="3" spans="1:2" ht="19.5" x14ac:dyDescent="0.4">
      <c r="A3" s="106" t="s">
        <v>2039</v>
      </c>
      <c r="B3" s="106" t="s">
        <v>2040</v>
      </c>
    </row>
    <row r="4" spans="1:2" ht="19.5" x14ac:dyDescent="0.4">
      <c r="A4" s="106" t="s">
        <v>2041</v>
      </c>
      <c r="B4" s="106" t="s">
        <v>2042</v>
      </c>
    </row>
    <row r="5" spans="1:2" ht="19.5" x14ac:dyDescent="0.4">
      <c r="A5" s="106" t="s">
        <v>2043</v>
      </c>
      <c r="B5" s="106" t="s">
        <v>2044</v>
      </c>
    </row>
    <row r="6" spans="1:2" ht="19.5" x14ac:dyDescent="0.4">
      <c r="A6" s="106" t="s">
        <v>2045</v>
      </c>
      <c r="B6" s="106" t="s">
        <v>2046</v>
      </c>
    </row>
    <row r="7" spans="1:2" ht="19.5" x14ac:dyDescent="0.4">
      <c r="A7" s="106" t="s">
        <v>2047</v>
      </c>
      <c r="B7" s="106" t="s">
        <v>2048</v>
      </c>
    </row>
    <row r="8" spans="1:2" ht="19.5" x14ac:dyDescent="0.4">
      <c r="A8" s="106" t="s">
        <v>2049</v>
      </c>
      <c r="B8" s="106" t="s">
        <v>2050</v>
      </c>
    </row>
    <row r="9" spans="1:2" ht="19.5" x14ac:dyDescent="0.4">
      <c r="A9" s="106" t="s">
        <v>1300</v>
      </c>
      <c r="B9" s="106" t="s">
        <v>2025</v>
      </c>
    </row>
    <row r="10" spans="1:2" ht="19.5" x14ac:dyDescent="0.4">
      <c r="A10" s="106" t="s">
        <v>1302</v>
      </c>
      <c r="B10" s="106" t="s">
        <v>2026</v>
      </c>
    </row>
    <row r="11" spans="1:2" ht="19.5" x14ac:dyDescent="0.4">
      <c r="A11" s="106" t="s">
        <v>2027</v>
      </c>
      <c r="B11" s="106" t="s">
        <v>2028</v>
      </c>
    </row>
    <row r="12" spans="1:2" ht="19.5" x14ac:dyDescent="0.4">
      <c r="A12" s="106" t="s">
        <v>2029</v>
      </c>
      <c r="B12" s="106" t="s">
        <v>2030</v>
      </c>
    </row>
    <row r="13" spans="1:2" ht="19.5" x14ac:dyDescent="0.4">
      <c r="A13" s="106" t="s">
        <v>2031</v>
      </c>
      <c r="B13" s="106" t="s">
        <v>2032</v>
      </c>
    </row>
    <row r="14" spans="1:2" ht="19.5" x14ac:dyDescent="0.4">
      <c r="A14" s="106" t="s">
        <v>2033</v>
      </c>
      <c r="B14" s="106" t="s">
        <v>2034</v>
      </c>
    </row>
    <row r="15" spans="1:2" ht="19.5" x14ac:dyDescent="0.4">
      <c r="A15" s="106" t="s">
        <v>2035</v>
      </c>
      <c r="B15" s="106" t="s">
        <v>2036</v>
      </c>
    </row>
    <row r="16" spans="1:2" ht="19.5" x14ac:dyDescent="0.4">
      <c r="A16" s="106" t="s">
        <v>2037</v>
      </c>
      <c r="B16" s="106" t="s">
        <v>2038</v>
      </c>
    </row>
    <row r="17" spans="1:2" ht="19.5" x14ac:dyDescent="0.4">
      <c r="A17" s="106" t="s">
        <v>1052</v>
      </c>
      <c r="B17" s="106" t="s">
        <v>1638</v>
      </c>
    </row>
    <row r="18" spans="1:2" ht="19.5" x14ac:dyDescent="0.4">
      <c r="A18" s="106" t="s">
        <v>1070</v>
      </c>
      <c r="B18" s="106" t="s">
        <v>1640</v>
      </c>
    </row>
    <row r="19" spans="1:2" ht="19.5" x14ac:dyDescent="0.4">
      <c r="A19" s="106" t="s">
        <v>1072</v>
      </c>
      <c r="B19" s="106" t="s">
        <v>1641</v>
      </c>
    </row>
    <row r="20" spans="1:2" ht="19.5" x14ac:dyDescent="0.4">
      <c r="A20" s="106" t="s">
        <v>1074</v>
      </c>
      <c r="B20" s="106" t="s">
        <v>1642</v>
      </c>
    </row>
    <row r="21" spans="1:2" ht="19.5" x14ac:dyDescent="0.4">
      <c r="A21" s="106" t="s">
        <v>1076</v>
      </c>
      <c r="B21" s="106" t="s">
        <v>1481</v>
      </c>
    </row>
    <row r="22" spans="1:2" ht="19.5" x14ac:dyDescent="0.4">
      <c r="A22" s="106" t="s">
        <v>1078</v>
      </c>
      <c r="B22" s="106" t="s">
        <v>1482</v>
      </c>
    </row>
    <row r="23" spans="1:2" ht="19.5" x14ac:dyDescent="0.4">
      <c r="A23" s="106" t="s">
        <v>1080</v>
      </c>
      <c r="B23" s="106" t="s">
        <v>1483</v>
      </c>
    </row>
    <row r="24" spans="1:2" ht="19.5" x14ac:dyDescent="0.4">
      <c r="A24" s="106" t="s">
        <v>1082</v>
      </c>
      <c r="B24" s="106" t="s">
        <v>1643</v>
      </c>
    </row>
    <row r="25" spans="1:2" ht="19.5" x14ac:dyDescent="0.4">
      <c r="A25" s="106" t="s">
        <v>1084</v>
      </c>
      <c r="B25" s="106" t="s">
        <v>1484</v>
      </c>
    </row>
    <row r="26" spans="1:2" ht="19.5" x14ac:dyDescent="0.4">
      <c r="A26" s="106" t="s">
        <v>1086</v>
      </c>
      <c r="B26" s="106" t="s">
        <v>1485</v>
      </c>
    </row>
    <row r="27" spans="1:2" ht="19.5" x14ac:dyDescent="0.4">
      <c r="A27" s="106" t="s">
        <v>1088</v>
      </c>
      <c r="B27" s="106" t="s">
        <v>1644</v>
      </c>
    </row>
    <row r="28" spans="1:2" ht="19.5" x14ac:dyDescent="0.4">
      <c r="A28" s="106" t="s">
        <v>1054</v>
      </c>
      <c r="B28" s="106" t="s">
        <v>1639</v>
      </c>
    </row>
    <row r="29" spans="1:2" ht="19.5" x14ac:dyDescent="0.4">
      <c r="A29" s="106" t="s">
        <v>1090</v>
      </c>
      <c r="B29" s="106" t="s">
        <v>1645</v>
      </c>
    </row>
    <row r="30" spans="1:2" ht="19.5" x14ac:dyDescent="0.4">
      <c r="A30" s="106" t="s">
        <v>1092</v>
      </c>
      <c r="B30" s="106" t="s">
        <v>1486</v>
      </c>
    </row>
    <row r="31" spans="1:2" ht="19.5" x14ac:dyDescent="0.4">
      <c r="A31" s="106" t="s">
        <v>1094</v>
      </c>
      <c r="B31" s="106" t="s">
        <v>1487</v>
      </c>
    </row>
    <row r="32" spans="1:2" ht="19.5" x14ac:dyDescent="0.4">
      <c r="A32" s="106" t="s">
        <v>1646</v>
      </c>
      <c r="B32" s="106" t="s">
        <v>1647</v>
      </c>
    </row>
    <row r="33" spans="1:2" ht="19.5" x14ac:dyDescent="0.4">
      <c r="A33" s="106" t="s">
        <v>1648</v>
      </c>
      <c r="B33" s="106" t="s">
        <v>1649</v>
      </c>
    </row>
    <row r="34" spans="1:2" ht="19.5" x14ac:dyDescent="0.4">
      <c r="A34" s="106" t="s">
        <v>1650</v>
      </c>
      <c r="B34" s="106" t="s">
        <v>1488</v>
      </c>
    </row>
    <row r="35" spans="1:2" ht="19.5" x14ac:dyDescent="0.4">
      <c r="A35" s="106" t="s">
        <v>1651</v>
      </c>
      <c r="B35" s="106" t="s">
        <v>1489</v>
      </c>
    </row>
    <row r="36" spans="1:2" ht="19.5" x14ac:dyDescent="0.4">
      <c r="A36" s="106" t="s">
        <v>1056</v>
      </c>
      <c r="B36" s="106" t="s">
        <v>1474</v>
      </c>
    </row>
    <row r="37" spans="1:2" ht="19.5" x14ac:dyDescent="0.4">
      <c r="A37" s="106" t="s">
        <v>1058</v>
      </c>
      <c r="B37" s="106" t="s">
        <v>1475</v>
      </c>
    </row>
    <row r="38" spans="1:2" ht="19.5" x14ac:dyDescent="0.4">
      <c r="A38" s="106" t="s">
        <v>1060</v>
      </c>
      <c r="B38" s="106" t="s">
        <v>1476</v>
      </c>
    </row>
    <row r="39" spans="1:2" ht="19.5" x14ac:dyDescent="0.4">
      <c r="A39" s="106" t="s">
        <v>1062</v>
      </c>
      <c r="B39" s="106" t="s">
        <v>1477</v>
      </c>
    </row>
    <row r="40" spans="1:2" ht="19.5" x14ac:dyDescent="0.4">
      <c r="A40" s="106" t="s">
        <v>1064</v>
      </c>
      <c r="B40" s="106" t="s">
        <v>1478</v>
      </c>
    </row>
    <row r="41" spans="1:2" ht="19.5" x14ac:dyDescent="0.4">
      <c r="A41" s="106" t="s">
        <v>1066</v>
      </c>
      <c r="B41" s="106" t="s">
        <v>1479</v>
      </c>
    </row>
    <row r="42" spans="1:2" ht="19.5" x14ac:dyDescent="0.4">
      <c r="A42" s="106" t="s">
        <v>1068</v>
      </c>
      <c r="B42" s="106" t="s">
        <v>1480</v>
      </c>
    </row>
    <row r="43" spans="1:2" ht="19.5" x14ac:dyDescent="0.4">
      <c r="A43" s="106" t="s">
        <v>1242</v>
      </c>
      <c r="B43" s="106" t="s">
        <v>1886</v>
      </c>
    </row>
    <row r="44" spans="1:2" ht="19.5" x14ac:dyDescent="0.4">
      <c r="A44" s="106" t="s">
        <v>1901</v>
      </c>
      <c r="B44" s="106" t="s">
        <v>1902</v>
      </c>
    </row>
    <row r="45" spans="1:2" ht="19.5" x14ac:dyDescent="0.4">
      <c r="A45" s="106" t="s">
        <v>1903</v>
      </c>
      <c r="B45" s="106" t="s">
        <v>1904</v>
      </c>
    </row>
    <row r="46" spans="1:2" ht="19.5" x14ac:dyDescent="0.4">
      <c r="A46" s="106" t="s">
        <v>1905</v>
      </c>
      <c r="B46" s="106" t="s">
        <v>1906</v>
      </c>
    </row>
    <row r="47" spans="1:2" ht="19.5" x14ac:dyDescent="0.4">
      <c r="A47" s="106" t="s">
        <v>1907</v>
      </c>
      <c r="B47" s="106" t="s">
        <v>1908</v>
      </c>
    </row>
    <row r="48" spans="1:2" ht="19.5" x14ac:dyDescent="0.4">
      <c r="A48" s="106" t="s">
        <v>1909</v>
      </c>
      <c r="B48" s="106" t="s">
        <v>1910</v>
      </c>
    </row>
    <row r="49" spans="1:2" ht="19.5" x14ac:dyDescent="0.4">
      <c r="A49" s="106" t="s">
        <v>1911</v>
      </c>
      <c r="B49" s="106" t="s">
        <v>1912</v>
      </c>
    </row>
    <row r="50" spans="1:2" ht="19.5" x14ac:dyDescent="0.4">
      <c r="A50" s="106" t="s">
        <v>1913</v>
      </c>
      <c r="B50" s="106" t="s">
        <v>1914</v>
      </c>
    </row>
    <row r="51" spans="1:2" ht="19.5" x14ac:dyDescent="0.4">
      <c r="A51" s="106" t="s">
        <v>1915</v>
      </c>
      <c r="B51" s="106" t="s">
        <v>1916</v>
      </c>
    </row>
    <row r="52" spans="1:2" ht="19.5" x14ac:dyDescent="0.4">
      <c r="A52" s="106" t="s">
        <v>1917</v>
      </c>
      <c r="B52" s="106" t="s">
        <v>1918</v>
      </c>
    </row>
    <row r="53" spans="1:2" ht="19.5" x14ac:dyDescent="0.4">
      <c r="A53" s="106" t="s">
        <v>1919</v>
      </c>
      <c r="B53" s="106" t="s">
        <v>1920</v>
      </c>
    </row>
    <row r="54" spans="1:2" ht="19.5" x14ac:dyDescent="0.4">
      <c r="A54" s="106" t="s">
        <v>1244</v>
      </c>
      <c r="B54" s="106" t="s">
        <v>1887</v>
      </c>
    </row>
    <row r="55" spans="1:2" ht="19.5" x14ac:dyDescent="0.4">
      <c r="A55" s="106" t="s">
        <v>1921</v>
      </c>
      <c r="B55" s="106" t="s">
        <v>1922</v>
      </c>
    </row>
    <row r="56" spans="1:2" ht="19.5" x14ac:dyDescent="0.4">
      <c r="A56" s="106" t="s">
        <v>1923</v>
      </c>
      <c r="B56" s="106" t="s">
        <v>1924</v>
      </c>
    </row>
    <row r="57" spans="1:2" ht="19.5" x14ac:dyDescent="0.4">
      <c r="A57" s="106" t="s">
        <v>1925</v>
      </c>
      <c r="B57" s="106" t="s">
        <v>1926</v>
      </c>
    </row>
    <row r="58" spans="1:2" ht="19.5" x14ac:dyDescent="0.4">
      <c r="A58" s="106" t="s">
        <v>1927</v>
      </c>
      <c r="B58" s="106" t="s">
        <v>1928</v>
      </c>
    </row>
    <row r="59" spans="1:2" ht="19.5" x14ac:dyDescent="0.4">
      <c r="A59" s="106" t="s">
        <v>1929</v>
      </c>
      <c r="B59" s="106" t="s">
        <v>1930</v>
      </c>
    </row>
    <row r="60" spans="1:2" ht="19.5" x14ac:dyDescent="0.4">
      <c r="A60" s="106" t="s">
        <v>1246</v>
      </c>
      <c r="B60" s="106" t="s">
        <v>1888</v>
      </c>
    </row>
    <row r="61" spans="1:2" ht="19.5" x14ac:dyDescent="0.4">
      <c r="A61" s="106" t="s">
        <v>1889</v>
      </c>
      <c r="B61" s="106" t="s">
        <v>1890</v>
      </c>
    </row>
    <row r="62" spans="1:2" ht="19.5" x14ac:dyDescent="0.4">
      <c r="A62" s="106" t="s">
        <v>1891</v>
      </c>
      <c r="B62" s="106" t="s">
        <v>1892</v>
      </c>
    </row>
    <row r="63" spans="1:2" ht="19.5" x14ac:dyDescent="0.4">
      <c r="A63" s="106" t="s">
        <v>1893</v>
      </c>
      <c r="B63" s="106" t="s">
        <v>1894</v>
      </c>
    </row>
    <row r="64" spans="1:2" ht="19.5" x14ac:dyDescent="0.4">
      <c r="A64" s="106" t="s">
        <v>1895</v>
      </c>
      <c r="B64" s="106" t="s">
        <v>1896</v>
      </c>
    </row>
    <row r="65" spans="1:2" ht="19.5" x14ac:dyDescent="0.4">
      <c r="A65" s="106" t="s">
        <v>1897</v>
      </c>
      <c r="B65" s="106" t="s">
        <v>1898</v>
      </c>
    </row>
    <row r="66" spans="1:2" ht="19.5" x14ac:dyDescent="0.4">
      <c r="A66" s="106" t="s">
        <v>1899</v>
      </c>
      <c r="B66" s="106" t="s">
        <v>1900</v>
      </c>
    </row>
    <row r="67" spans="1:2" ht="19.5" x14ac:dyDescent="0.4">
      <c r="A67" s="106" t="s">
        <v>330</v>
      </c>
      <c r="B67" s="106" t="s">
        <v>1853</v>
      </c>
    </row>
    <row r="68" spans="1:2" ht="19.5" x14ac:dyDescent="0.4">
      <c r="A68" s="106" t="s">
        <v>889</v>
      </c>
      <c r="B68" s="106" t="s">
        <v>1854</v>
      </c>
    </row>
    <row r="69" spans="1:2" ht="19.5" x14ac:dyDescent="0.4">
      <c r="A69" s="106" t="s">
        <v>1216</v>
      </c>
      <c r="B69" s="106" t="s">
        <v>1855</v>
      </c>
    </row>
    <row r="70" spans="1:2" ht="19.5" x14ac:dyDescent="0.4">
      <c r="A70" s="106" t="s">
        <v>1218</v>
      </c>
      <c r="B70" s="106" t="s">
        <v>1856</v>
      </c>
    </row>
    <row r="71" spans="1:2" ht="19.5" x14ac:dyDescent="0.4">
      <c r="A71" s="106" t="s">
        <v>1220</v>
      </c>
      <c r="B71" s="106" t="s">
        <v>1857</v>
      </c>
    </row>
    <row r="72" spans="1:2" ht="19.5" x14ac:dyDescent="0.4">
      <c r="A72" s="106" t="s">
        <v>1222</v>
      </c>
      <c r="B72" s="106" t="s">
        <v>1858</v>
      </c>
    </row>
    <row r="73" spans="1:2" ht="19.5" x14ac:dyDescent="0.4">
      <c r="A73" s="106" t="s">
        <v>1224</v>
      </c>
      <c r="B73" s="106" t="s">
        <v>1859</v>
      </c>
    </row>
    <row r="74" spans="1:2" ht="19.5" x14ac:dyDescent="0.4">
      <c r="A74" s="106" t="s">
        <v>1226</v>
      </c>
      <c r="B74" s="106" t="s">
        <v>1553</v>
      </c>
    </row>
    <row r="75" spans="1:2" ht="19.5" x14ac:dyDescent="0.4">
      <c r="A75" s="106" t="s">
        <v>1228</v>
      </c>
      <c r="B75" s="106" t="s">
        <v>1860</v>
      </c>
    </row>
    <row r="76" spans="1:2" ht="19.5" x14ac:dyDescent="0.4">
      <c r="A76" s="106" t="s">
        <v>1230</v>
      </c>
      <c r="B76" s="106" t="s">
        <v>1861</v>
      </c>
    </row>
    <row r="77" spans="1:2" ht="19.5" x14ac:dyDescent="0.4">
      <c r="A77" s="106" t="s">
        <v>1232</v>
      </c>
      <c r="B77" s="106" t="s">
        <v>1862</v>
      </c>
    </row>
    <row r="78" spans="1:2" ht="19.5" x14ac:dyDescent="0.4">
      <c r="A78" s="106" t="s">
        <v>1234</v>
      </c>
      <c r="B78" s="106" t="s">
        <v>1863</v>
      </c>
    </row>
    <row r="79" spans="1:2" ht="19.5" x14ac:dyDescent="0.4">
      <c r="A79" s="106" t="s">
        <v>1236</v>
      </c>
      <c r="B79" s="106" t="s">
        <v>3148</v>
      </c>
    </row>
    <row r="80" spans="1:2" ht="19.5" x14ac:dyDescent="0.4">
      <c r="A80" s="106" t="s">
        <v>1238</v>
      </c>
      <c r="B80" s="106" t="s">
        <v>3149</v>
      </c>
    </row>
    <row r="81" spans="1:2" ht="19.5" x14ac:dyDescent="0.4">
      <c r="A81" s="106" t="s">
        <v>1240</v>
      </c>
      <c r="B81" s="106" t="s">
        <v>3150</v>
      </c>
    </row>
    <row r="82" spans="1:2" ht="19.5" x14ac:dyDescent="0.4">
      <c r="A82" s="106" t="s">
        <v>1864</v>
      </c>
      <c r="B82" s="106" t="s">
        <v>3151</v>
      </c>
    </row>
    <row r="83" spans="1:2" ht="19.5" x14ac:dyDescent="0.4">
      <c r="A83" s="106" t="s">
        <v>1865</v>
      </c>
      <c r="B83" s="106" t="s">
        <v>3152</v>
      </c>
    </row>
    <row r="84" spans="1:2" ht="19.5" x14ac:dyDescent="0.4">
      <c r="A84" s="106" t="s">
        <v>1866</v>
      </c>
      <c r="B84" s="106" t="s">
        <v>3153</v>
      </c>
    </row>
    <row r="85" spans="1:2" ht="19.5" x14ac:dyDescent="0.4">
      <c r="A85" s="106" t="s">
        <v>1867</v>
      </c>
      <c r="B85" s="106" t="s">
        <v>3154</v>
      </c>
    </row>
    <row r="86" spans="1:2" ht="19.5" x14ac:dyDescent="0.4">
      <c r="A86" s="106" t="s">
        <v>1868</v>
      </c>
      <c r="B86" s="106" t="s">
        <v>3155</v>
      </c>
    </row>
    <row r="87" spans="1:2" ht="19.5" x14ac:dyDescent="0.4">
      <c r="A87" s="106" t="s">
        <v>1869</v>
      </c>
      <c r="B87" s="106" t="s">
        <v>3156</v>
      </c>
    </row>
    <row r="88" spans="1:2" ht="19.5" x14ac:dyDescent="0.4">
      <c r="A88" s="106" t="s">
        <v>1870</v>
      </c>
      <c r="B88" s="106" t="s">
        <v>3157</v>
      </c>
    </row>
    <row r="89" spans="1:2" ht="19.5" x14ac:dyDescent="0.4">
      <c r="A89" s="106" t="s">
        <v>1871</v>
      </c>
      <c r="B89" s="106" t="s">
        <v>3158</v>
      </c>
    </row>
    <row r="90" spans="1:2" ht="19.5" x14ac:dyDescent="0.4">
      <c r="A90" s="106" t="s">
        <v>1872</v>
      </c>
      <c r="B90" s="106" t="s">
        <v>3159</v>
      </c>
    </row>
    <row r="91" spans="1:2" ht="19.5" x14ac:dyDescent="0.4">
      <c r="A91" s="106" t="s">
        <v>1873</v>
      </c>
      <c r="B91" s="106" t="s">
        <v>3160</v>
      </c>
    </row>
    <row r="92" spans="1:2" ht="19.5" x14ac:dyDescent="0.4">
      <c r="A92" s="106" t="s">
        <v>1874</v>
      </c>
      <c r="B92" s="106" t="s">
        <v>3161</v>
      </c>
    </row>
    <row r="93" spans="1:2" ht="19.5" x14ac:dyDescent="0.4">
      <c r="A93" s="106" t="s">
        <v>1875</v>
      </c>
      <c r="B93" s="106" t="s">
        <v>3162</v>
      </c>
    </row>
    <row r="94" spans="1:2" ht="19.5" x14ac:dyDescent="0.4">
      <c r="A94" s="106" t="s">
        <v>1876</v>
      </c>
      <c r="B94" s="106" t="s">
        <v>3163</v>
      </c>
    </row>
    <row r="95" spans="1:2" ht="19.5" x14ac:dyDescent="0.4">
      <c r="A95" s="106" t="s">
        <v>1877</v>
      </c>
      <c r="B95" s="106" t="s">
        <v>1878</v>
      </c>
    </row>
    <row r="96" spans="1:2" ht="19.5" x14ac:dyDescent="0.4">
      <c r="A96" s="106" t="s">
        <v>1879</v>
      </c>
      <c r="B96" s="106" t="s">
        <v>1554</v>
      </c>
    </row>
    <row r="97" spans="1:2" ht="19.5" x14ac:dyDescent="0.4">
      <c r="A97" s="106" t="s">
        <v>1880</v>
      </c>
      <c r="B97" s="106" t="s">
        <v>1555</v>
      </c>
    </row>
    <row r="98" spans="1:2" ht="19.5" x14ac:dyDescent="0.4">
      <c r="A98" s="106" t="s">
        <v>1881</v>
      </c>
      <c r="B98" s="106" t="s">
        <v>1882</v>
      </c>
    </row>
    <row r="99" spans="1:2" ht="19.5" x14ac:dyDescent="0.4">
      <c r="A99" s="106" t="s">
        <v>1883</v>
      </c>
      <c r="B99" s="106" t="s">
        <v>1884</v>
      </c>
    </row>
    <row r="100" spans="1:2" ht="19.5" x14ac:dyDescent="0.4">
      <c r="A100" s="106" t="s">
        <v>1885</v>
      </c>
      <c r="B100" s="106" t="s">
        <v>1556</v>
      </c>
    </row>
    <row r="101" spans="1:2" ht="19.5" x14ac:dyDescent="0.4">
      <c r="A101" s="106" t="s">
        <v>961</v>
      </c>
      <c r="B101" s="106" t="s">
        <v>1801</v>
      </c>
    </row>
    <row r="102" spans="1:2" ht="19.5" x14ac:dyDescent="0.4">
      <c r="A102" s="106" t="s">
        <v>962</v>
      </c>
      <c r="B102" s="106" t="s">
        <v>963</v>
      </c>
    </row>
    <row r="103" spans="1:2" ht="19.5" x14ac:dyDescent="0.4">
      <c r="A103" s="106" t="s">
        <v>993</v>
      </c>
      <c r="B103" s="106" t="s">
        <v>1802</v>
      </c>
    </row>
    <row r="104" spans="1:2" ht="19.5" x14ac:dyDescent="0.4">
      <c r="A104" s="106" t="s">
        <v>1803</v>
      </c>
      <c r="B104" s="106" t="s">
        <v>1804</v>
      </c>
    </row>
    <row r="105" spans="1:2" ht="19.5" x14ac:dyDescent="0.4">
      <c r="A105" s="106" t="s">
        <v>1805</v>
      </c>
      <c r="B105" s="106" t="s">
        <v>1535</v>
      </c>
    </row>
    <row r="106" spans="1:2" ht="19.5" x14ac:dyDescent="0.4">
      <c r="A106" s="106" t="s">
        <v>1806</v>
      </c>
      <c r="B106" s="106" t="s">
        <v>1807</v>
      </c>
    </row>
    <row r="107" spans="1:2" ht="19.5" x14ac:dyDescent="0.4">
      <c r="A107" s="106" t="s">
        <v>1808</v>
      </c>
      <c r="B107" s="106" t="s">
        <v>1809</v>
      </c>
    </row>
    <row r="108" spans="1:2" ht="19.5" x14ac:dyDescent="0.4">
      <c r="A108" s="106" t="s">
        <v>1810</v>
      </c>
      <c r="B108" s="106" t="s">
        <v>1536</v>
      </c>
    </row>
    <row r="109" spans="1:2" ht="19.5" x14ac:dyDescent="0.4">
      <c r="A109" s="106" t="s">
        <v>1811</v>
      </c>
      <c r="B109" s="106" t="s">
        <v>1537</v>
      </c>
    </row>
    <row r="110" spans="1:2" ht="19.5" x14ac:dyDescent="0.4">
      <c r="A110" s="106" t="s">
        <v>1296</v>
      </c>
      <c r="B110" s="106" t="s">
        <v>1599</v>
      </c>
    </row>
    <row r="111" spans="1:2" ht="19.5" x14ac:dyDescent="0.4">
      <c r="A111" s="106" t="s">
        <v>2021</v>
      </c>
      <c r="B111" s="106" t="s">
        <v>1600</v>
      </c>
    </row>
    <row r="112" spans="1:2" ht="19.5" x14ac:dyDescent="0.4">
      <c r="A112" s="106" t="s">
        <v>2022</v>
      </c>
      <c r="B112" s="106" t="s">
        <v>1601</v>
      </c>
    </row>
    <row r="113" spans="1:2" ht="19.5" x14ac:dyDescent="0.4">
      <c r="A113" s="106" t="s">
        <v>2023</v>
      </c>
      <c r="B113" s="106" t="s">
        <v>1602</v>
      </c>
    </row>
    <row r="114" spans="1:2" ht="19.5" x14ac:dyDescent="0.4">
      <c r="A114" s="106" t="s">
        <v>1096</v>
      </c>
      <c r="B114" s="106" t="s">
        <v>1490</v>
      </c>
    </row>
    <row r="115" spans="1:2" ht="19.5" x14ac:dyDescent="0.4">
      <c r="A115" s="106" t="s">
        <v>1659</v>
      </c>
      <c r="B115" s="106" t="s">
        <v>1497</v>
      </c>
    </row>
    <row r="116" spans="1:2" ht="19.5" x14ac:dyDescent="0.4">
      <c r="A116" s="106" t="s">
        <v>1660</v>
      </c>
      <c r="B116" s="106" t="s">
        <v>1498</v>
      </c>
    </row>
    <row r="117" spans="1:2" ht="19.5" x14ac:dyDescent="0.4">
      <c r="A117" s="106" t="s">
        <v>1661</v>
      </c>
      <c r="B117" s="106" t="s">
        <v>1499</v>
      </c>
    </row>
    <row r="118" spans="1:2" ht="19.5" x14ac:dyDescent="0.4">
      <c r="A118" s="106" t="s">
        <v>1662</v>
      </c>
      <c r="B118" s="106" t="s">
        <v>1500</v>
      </c>
    </row>
    <row r="119" spans="1:2" ht="19.5" x14ac:dyDescent="0.4">
      <c r="A119" s="106" t="s">
        <v>1663</v>
      </c>
      <c r="B119" s="106" t="s">
        <v>1501</v>
      </c>
    </row>
    <row r="120" spans="1:2" ht="19.5" x14ac:dyDescent="0.4">
      <c r="A120" s="106" t="s">
        <v>1664</v>
      </c>
      <c r="B120" s="106" t="s">
        <v>1665</v>
      </c>
    </row>
    <row r="121" spans="1:2" ht="19.5" x14ac:dyDescent="0.4">
      <c r="A121" s="106" t="s">
        <v>1666</v>
      </c>
      <c r="B121" s="106" t="s">
        <v>1667</v>
      </c>
    </row>
    <row r="122" spans="1:2" ht="19.5" x14ac:dyDescent="0.4">
      <c r="A122" s="106" t="s">
        <v>1668</v>
      </c>
      <c r="B122" s="106" t="s">
        <v>1502</v>
      </c>
    </row>
    <row r="123" spans="1:2" ht="19.5" x14ac:dyDescent="0.4">
      <c r="A123" s="106" t="s">
        <v>1669</v>
      </c>
      <c r="B123" s="106" t="s">
        <v>1503</v>
      </c>
    </row>
    <row r="124" spans="1:2" ht="19.5" x14ac:dyDescent="0.4">
      <c r="A124" s="106" t="s">
        <v>1670</v>
      </c>
      <c r="B124" s="106" t="s">
        <v>1671</v>
      </c>
    </row>
    <row r="125" spans="1:2" ht="19.5" x14ac:dyDescent="0.4">
      <c r="A125" s="106" t="s">
        <v>1098</v>
      </c>
      <c r="B125" s="106" t="s">
        <v>1491</v>
      </c>
    </row>
    <row r="126" spans="1:2" ht="19.5" x14ac:dyDescent="0.4">
      <c r="A126" s="106" t="s">
        <v>1672</v>
      </c>
      <c r="B126" s="106" t="s">
        <v>1673</v>
      </c>
    </row>
    <row r="127" spans="1:2" ht="19.5" x14ac:dyDescent="0.4">
      <c r="A127" s="106" t="s">
        <v>1674</v>
      </c>
      <c r="B127" s="106" t="s">
        <v>1675</v>
      </c>
    </row>
    <row r="128" spans="1:2" ht="19.5" x14ac:dyDescent="0.4">
      <c r="A128" s="106" t="s">
        <v>1676</v>
      </c>
      <c r="B128" s="106" t="s">
        <v>1677</v>
      </c>
    </row>
    <row r="129" spans="1:2" ht="19.5" x14ac:dyDescent="0.4">
      <c r="A129" s="106" t="s">
        <v>1100</v>
      </c>
      <c r="B129" s="106" t="s">
        <v>1492</v>
      </c>
    </row>
    <row r="130" spans="1:2" ht="19.5" x14ac:dyDescent="0.4">
      <c r="A130" s="106" t="s">
        <v>1102</v>
      </c>
      <c r="B130" s="106" t="s">
        <v>1493</v>
      </c>
    </row>
    <row r="131" spans="1:2" ht="19.5" x14ac:dyDescent="0.4">
      <c r="A131" s="106" t="s">
        <v>1652</v>
      </c>
      <c r="B131" s="106" t="s">
        <v>1653</v>
      </c>
    </row>
    <row r="132" spans="1:2" ht="19.5" x14ac:dyDescent="0.4">
      <c r="A132" s="106" t="s">
        <v>1654</v>
      </c>
      <c r="B132" s="106" t="s">
        <v>1655</v>
      </c>
    </row>
    <row r="133" spans="1:2" ht="19.5" x14ac:dyDescent="0.4">
      <c r="A133" s="106" t="s">
        <v>1656</v>
      </c>
      <c r="B133" s="106" t="s">
        <v>1494</v>
      </c>
    </row>
    <row r="134" spans="1:2" ht="19.5" x14ac:dyDescent="0.4">
      <c r="A134" s="106" t="s">
        <v>1657</v>
      </c>
      <c r="B134" s="106" t="s">
        <v>1495</v>
      </c>
    </row>
    <row r="135" spans="1:2" ht="19.5" x14ac:dyDescent="0.4">
      <c r="A135" s="106" t="s">
        <v>1658</v>
      </c>
      <c r="B135" s="106" t="s">
        <v>1496</v>
      </c>
    </row>
    <row r="136" spans="1:2" ht="19.5" x14ac:dyDescent="0.4">
      <c r="A136" s="106" t="s">
        <v>1104</v>
      </c>
      <c r="B136" s="106" t="s">
        <v>1504</v>
      </c>
    </row>
    <row r="137" spans="1:2" ht="19.5" x14ac:dyDescent="0.4">
      <c r="A137" s="106" t="s">
        <v>1122</v>
      </c>
      <c r="B137" s="106" t="s">
        <v>1685</v>
      </c>
    </row>
    <row r="138" spans="1:2" ht="19.5" x14ac:dyDescent="0.4">
      <c r="A138" s="106" t="s">
        <v>1124</v>
      </c>
      <c r="B138" s="106" t="s">
        <v>1686</v>
      </c>
    </row>
    <row r="139" spans="1:2" ht="19.5" x14ac:dyDescent="0.4">
      <c r="A139" s="106" t="s">
        <v>1126</v>
      </c>
      <c r="B139" s="106" t="s">
        <v>1506</v>
      </c>
    </row>
    <row r="140" spans="1:2" ht="19.5" x14ac:dyDescent="0.4">
      <c r="A140" s="106" t="s">
        <v>1128</v>
      </c>
      <c r="B140" s="106" t="s">
        <v>1687</v>
      </c>
    </row>
    <row r="141" spans="1:2" ht="19.5" x14ac:dyDescent="0.4">
      <c r="A141" s="106" t="s">
        <v>1130</v>
      </c>
      <c r="B141" s="106" t="s">
        <v>1688</v>
      </c>
    </row>
    <row r="142" spans="1:2" ht="19.5" x14ac:dyDescent="0.4">
      <c r="A142" s="106" t="s">
        <v>1347</v>
      </c>
      <c r="B142" s="106" t="s">
        <v>1689</v>
      </c>
    </row>
    <row r="143" spans="1:2" ht="19.5" x14ac:dyDescent="0.4">
      <c r="A143" s="106" t="s">
        <v>1349</v>
      </c>
      <c r="B143" s="106" t="s">
        <v>1507</v>
      </c>
    </row>
    <row r="144" spans="1:2" ht="19.5" x14ac:dyDescent="0.4">
      <c r="A144" s="106" t="s">
        <v>1351</v>
      </c>
      <c r="B144" s="106" t="s">
        <v>1690</v>
      </c>
    </row>
    <row r="145" spans="1:2" ht="19.5" x14ac:dyDescent="0.4">
      <c r="A145" s="106" t="s">
        <v>1353</v>
      </c>
      <c r="B145" s="106" t="s">
        <v>1691</v>
      </c>
    </row>
    <row r="146" spans="1:2" ht="19.5" x14ac:dyDescent="0.4">
      <c r="A146" s="106" t="s">
        <v>1355</v>
      </c>
      <c r="B146" s="106" t="s">
        <v>1692</v>
      </c>
    </row>
    <row r="147" spans="1:2" ht="19.5" x14ac:dyDescent="0.4">
      <c r="A147" s="106" t="s">
        <v>1106</v>
      </c>
      <c r="B147" s="106" t="s">
        <v>1505</v>
      </c>
    </row>
    <row r="148" spans="1:2" ht="19.5" x14ac:dyDescent="0.4">
      <c r="A148" s="106" t="s">
        <v>1356</v>
      </c>
      <c r="B148" s="106" t="s">
        <v>1693</v>
      </c>
    </row>
    <row r="149" spans="1:2" ht="19.5" x14ac:dyDescent="0.4">
      <c r="A149" s="106" t="s">
        <v>1358</v>
      </c>
      <c r="B149" s="107" t="s">
        <v>1694</v>
      </c>
    </row>
    <row r="150" spans="1:2" ht="19.5" x14ac:dyDescent="0.4">
      <c r="A150" s="106" t="s">
        <v>1360</v>
      </c>
      <c r="B150" s="106" t="s">
        <v>1508</v>
      </c>
    </row>
    <row r="151" spans="1:2" ht="19.5" x14ac:dyDescent="0.4">
      <c r="A151" s="106" t="s">
        <v>1362</v>
      </c>
      <c r="B151" s="106" t="s">
        <v>1695</v>
      </c>
    </row>
    <row r="152" spans="1:2" ht="19.5" x14ac:dyDescent="0.4">
      <c r="A152" s="106" t="s">
        <v>1364</v>
      </c>
      <c r="B152" s="106" t="s">
        <v>1696</v>
      </c>
    </row>
    <row r="153" spans="1:2" ht="19.5" x14ac:dyDescent="0.4">
      <c r="A153" s="106" t="s">
        <v>1366</v>
      </c>
      <c r="B153" s="106" t="s">
        <v>1697</v>
      </c>
    </row>
    <row r="154" spans="1:2" ht="19.5" x14ac:dyDescent="0.4">
      <c r="A154" s="106" t="s">
        <v>1368</v>
      </c>
      <c r="B154" s="106" t="s">
        <v>1509</v>
      </c>
    </row>
    <row r="155" spans="1:2" ht="19.5" x14ac:dyDescent="0.4">
      <c r="A155" s="106" t="s">
        <v>1370</v>
      </c>
      <c r="B155" s="106" t="s">
        <v>1510</v>
      </c>
    </row>
    <row r="156" spans="1:2" ht="19.5" x14ac:dyDescent="0.4">
      <c r="A156" s="106" t="s">
        <v>1372</v>
      </c>
      <c r="B156" s="106" t="s">
        <v>1511</v>
      </c>
    </row>
    <row r="157" spans="1:2" ht="19.5" x14ac:dyDescent="0.4">
      <c r="A157" s="106" t="s">
        <v>1374</v>
      </c>
      <c r="B157" s="106" t="s">
        <v>1698</v>
      </c>
    </row>
    <row r="158" spans="1:2" ht="19.5" x14ac:dyDescent="0.4">
      <c r="A158" s="106" t="s">
        <v>1108</v>
      </c>
      <c r="B158" s="106" t="s">
        <v>1678</v>
      </c>
    </row>
    <row r="159" spans="1:2" ht="19.5" x14ac:dyDescent="0.4">
      <c r="A159" s="106" t="s">
        <v>1376</v>
      </c>
      <c r="B159" s="106" t="s">
        <v>1512</v>
      </c>
    </row>
    <row r="160" spans="1:2" ht="19.5" x14ac:dyDescent="0.4">
      <c r="A160" s="106" t="s">
        <v>1378</v>
      </c>
      <c r="B160" s="106" t="s">
        <v>1699</v>
      </c>
    </row>
    <row r="161" spans="1:2" ht="19.5" x14ac:dyDescent="0.4">
      <c r="A161" s="106" t="s">
        <v>1380</v>
      </c>
      <c r="B161" s="106" t="s">
        <v>1513</v>
      </c>
    </row>
    <row r="162" spans="1:2" ht="19.5" x14ac:dyDescent="0.4">
      <c r="A162" s="106" t="s">
        <v>1700</v>
      </c>
      <c r="B162" s="106" t="s">
        <v>1514</v>
      </c>
    </row>
    <row r="163" spans="1:2" ht="19.5" x14ac:dyDescent="0.4">
      <c r="A163" s="106" t="s">
        <v>1701</v>
      </c>
      <c r="B163" s="106" t="s">
        <v>1702</v>
      </c>
    </row>
    <row r="164" spans="1:2" ht="19.5" x14ac:dyDescent="0.4">
      <c r="A164" s="106" t="s">
        <v>1703</v>
      </c>
      <c r="B164" s="106" t="s">
        <v>1515</v>
      </c>
    </row>
    <row r="165" spans="1:2" ht="19.5" x14ac:dyDescent="0.4">
      <c r="A165" s="106" t="s">
        <v>1704</v>
      </c>
      <c r="B165" s="106" t="s">
        <v>1516</v>
      </c>
    </row>
    <row r="166" spans="1:2" ht="19.5" x14ac:dyDescent="0.4">
      <c r="A166" s="106" t="s">
        <v>1705</v>
      </c>
      <c r="B166" s="106" t="s">
        <v>1706</v>
      </c>
    </row>
    <row r="167" spans="1:2" ht="19.5" x14ac:dyDescent="0.4">
      <c r="A167" s="106" t="s">
        <v>1707</v>
      </c>
      <c r="B167" s="106" t="s">
        <v>1708</v>
      </c>
    </row>
    <row r="168" spans="1:2" ht="19.5" x14ac:dyDescent="0.4">
      <c r="A168" s="106" t="s">
        <v>1709</v>
      </c>
      <c r="B168" s="106" t="s">
        <v>1710</v>
      </c>
    </row>
    <row r="169" spans="1:2" ht="19.5" x14ac:dyDescent="0.4">
      <c r="A169" s="106" t="s">
        <v>1110</v>
      </c>
      <c r="B169" s="106" t="s">
        <v>1679</v>
      </c>
    </row>
    <row r="170" spans="1:2" ht="19.5" x14ac:dyDescent="0.4">
      <c r="A170" s="106" t="s">
        <v>1711</v>
      </c>
      <c r="B170" s="106" t="s">
        <v>1517</v>
      </c>
    </row>
    <row r="171" spans="1:2" ht="19.5" x14ac:dyDescent="0.4">
      <c r="A171" s="106" t="s">
        <v>1712</v>
      </c>
      <c r="B171" s="106" t="s">
        <v>1713</v>
      </c>
    </row>
    <row r="172" spans="1:2" ht="19.5" x14ac:dyDescent="0.4">
      <c r="A172" s="106" t="s">
        <v>1714</v>
      </c>
      <c r="B172" s="106" t="s">
        <v>1715</v>
      </c>
    </row>
    <row r="173" spans="1:2" ht="19.5" x14ac:dyDescent="0.4">
      <c r="A173" s="106" t="s">
        <v>1716</v>
      </c>
      <c r="B173" s="106" t="s">
        <v>1717</v>
      </c>
    </row>
    <row r="174" spans="1:2" ht="19.5" x14ac:dyDescent="0.4">
      <c r="A174" s="106" t="s">
        <v>1718</v>
      </c>
      <c r="B174" s="106" t="s">
        <v>1719</v>
      </c>
    </row>
    <row r="175" spans="1:2" ht="19.5" x14ac:dyDescent="0.4">
      <c r="A175" s="106" t="s">
        <v>1720</v>
      </c>
      <c r="B175" s="106" t="s">
        <v>1518</v>
      </c>
    </row>
    <row r="176" spans="1:2" ht="19.5" x14ac:dyDescent="0.4">
      <c r="A176" s="106" t="s">
        <v>1721</v>
      </c>
      <c r="B176" s="106" t="s">
        <v>1722</v>
      </c>
    </row>
    <row r="177" spans="1:2" ht="19.5" x14ac:dyDescent="0.4">
      <c r="A177" s="106" t="s">
        <v>1723</v>
      </c>
      <c r="B177" s="106" t="s">
        <v>1519</v>
      </c>
    </row>
    <row r="178" spans="1:2" ht="19.5" x14ac:dyDescent="0.4">
      <c r="A178" s="106" t="s">
        <v>1724</v>
      </c>
      <c r="B178" s="106" t="s">
        <v>1725</v>
      </c>
    </row>
    <row r="179" spans="1:2" ht="19.5" x14ac:dyDescent="0.4">
      <c r="A179" s="106" t="s">
        <v>1726</v>
      </c>
      <c r="B179" s="106" t="s">
        <v>1727</v>
      </c>
    </row>
    <row r="180" spans="1:2" ht="19.5" x14ac:dyDescent="0.4">
      <c r="A180" s="106" t="s">
        <v>1112</v>
      </c>
      <c r="B180" s="106" t="s">
        <v>1680</v>
      </c>
    </row>
    <row r="181" spans="1:2" ht="19.5" x14ac:dyDescent="0.4">
      <c r="A181" s="106" t="s">
        <v>1728</v>
      </c>
      <c r="B181" s="106" t="s">
        <v>1729</v>
      </c>
    </row>
    <row r="182" spans="1:2" ht="19.5" x14ac:dyDescent="0.4">
      <c r="A182" s="106" t="s">
        <v>1730</v>
      </c>
      <c r="B182" s="106" t="s">
        <v>1731</v>
      </c>
    </row>
    <row r="183" spans="1:2" ht="19.5" x14ac:dyDescent="0.4">
      <c r="A183" s="106" t="s">
        <v>1732</v>
      </c>
      <c r="B183" s="106" t="s">
        <v>1733</v>
      </c>
    </row>
    <row r="184" spans="1:2" ht="19.5" x14ac:dyDescent="0.4">
      <c r="A184" s="106" t="s">
        <v>1734</v>
      </c>
      <c r="B184" s="106" t="s">
        <v>1520</v>
      </c>
    </row>
    <row r="185" spans="1:2" ht="19.5" x14ac:dyDescent="0.4">
      <c r="A185" s="106" t="s">
        <v>1735</v>
      </c>
      <c r="B185" s="106" t="s">
        <v>1736</v>
      </c>
    </row>
    <row r="186" spans="1:2" ht="19.5" x14ac:dyDescent="0.4">
      <c r="A186" s="106" t="s">
        <v>1737</v>
      </c>
      <c r="B186" s="106" t="s">
        <v>1521</v>
      </c>
    </row>
    <row r="187" spans="1:2" ht="19.5" x14ac:dyDescent="0.4">
      <c r="A187" s="106" t="s">
        <v>1738</v>
      </c>
      <c r="B187" s="106" t="s">
        <v>1739</v>
      </c>
    </row>
    <row r="188" spans="1:2" ht="19.5" x14ac:dyDescent="0.4">
      <c r="A188" s="106" t="s">
        <v>1740</v>
      </c>
      <c r="B188" s="106" t="s">
        <v>1741</v>
      </c>
    </row>
    <row r="189" spans="1:2" ht="19.5" x14ac:dyDescent="0.4">
      <c r="A189" s="106" t="s">
        <v>1742</v>
      </c>
      <c r="B189" s="106" t="s">
        <v>1743</v>
      </c>
    </row>
    <row r="190" spans="1:2" ht="19.5" x14ac:dyDescent="0.4">
      <c r="A190" s="106" t="s">
        <v>1744</v>
      </c>
      <c r="B190" s="106" t="s">
        <v>1745</v>
      </c>
    </row>
    <row r="191" spans="1:2" ht="19.5" x14ac:dyDescent="0.4">
      <c r="A191" s="106" t="s">
        <v>1114</v>
      </c>
      <c r="B191" s="106" t="s">
        <v>1681</v>
      </c>
    </row>
    <row r="192" spans="1:2" ht="19.5" x14ac:dyDescent="0.4">
      <c r="A192" s="106" t="s">
        <v>1746</v>
      </c>
      <c r="B192" s="106" t="s">
        <v>1747</v>
      </c>
    </row>
    <row r="193" spans="1:2" ht="19.5" x14ac:dyDescent="0.4">
      <c r="A193" s="106" t="s">
        <v>1748</v>
      </c>
      <c r="B193" s="106" t="s">
        <v>1522</v>
      </c>
    </row>
    <row r="194" spans="1:2" ht="19.5" x14ac:dyDescent="0.4">
      <c r="A194" s="106" t="s">
        <v>1749</v>
      </c>
      <c r="B194" s="106" t="s">
        <v>1750</v>
      </c>
    </row>
    <row r="195" spans="1:2" ht="19.5" x14ac:dyDescent="0.4">
      <c r="A195" s="106" t="s">
        <v>1751</v>
      </c>
      <c r="B195" s="106" t="s">
        <v>1752</v>
      </c>
    </row>
    <row r="196" spans="1:2" ht="19.5" x14ac:dyDescent="0.4">
      <c r="A196" s="106" t="s">
        <v>1753</v>
      </c>
      <c r="B196" s="106" t="s">
        <v>1754</v>
      </c>
    </row>
    <row r="197" spans="1:2" ht="19.5" x14ac:dyDescent="0.4">
      <c r="A197" s="106" t="s">
        <v>1755</v>
      </c>
      <c r="B197" s="106" t="s">
        <v>1756</v>
      </c>
    </row>
    <row r="198" spans="1:2" ht="19.5" x14ac:dyDescent="0.4">
      <c r="A198" s="106" t="s">
        <v>1757</v>
      </c>
      <c r="B198" s="106" t="s">
        <v>1523</v>
      </c>
    </row>
    <row r="199" spans="1:2" ht="19.5" x14ac:dyDescent="0.4">
      <c r="A199" s="106" t="s">
        <v>1758</v>
      </c>
      <c r="B199" s="106" t="s">
        <v>1759</v>
      </c>
    </row>
    <row r="200" spans="1:2" ht="19.5" x14ac:dyDescent="0.4">
      <c r="A200" s="106" t="s">
        <v>1760</v>
      </c>
      <c r="B200" s="106" t="s">
        <v>1761</v>
      </c>
    </row>
    <row r="201" spans="1:2" ht="19.5" x14ac:dyDescent="0.4">
      <c r="A201" s="106" t="s">
        <v>1762</v>
      </c>
      <c r="B201" s="106" t="s">
        <v>1763</v>
      </c>
    </row>
    <row r="202" spans="1:2" ht="19.5" x14ac:dyDescent="0.4">
      <c r="A202" s="106" t="s">
        <v>1116</v>
      </c>
      <c r="B202" s="106" t="s">
        <v>1682</v>
      </c>
    </row>
    <row r="203" spans="1:2" ht="19.5" x14ac:dyDescent="0.4">
      <c r="A203" s="106" t="s">
        <v>1764</v>
      </c>
      <c r="B203" s="107" t="s">
        <v>1524</v>
      </c>
    </row>
    <row r="204" spans="1:2" ht="19.5" x14ac:dyDescent="0.4">
      <c r="A204" s="106" t="s">
        <v>1765</v>
      </c>
      <c r="B204" s="106" t="s">
        <v>1766</v>
      </c>
    </row>
    <row r="205" spans="1:2" ht="19.5" x14ac:dyDescent="0.4">
      <c r="A205" s="106" t="s">
        <v>1767</v>
      </c>
      <c r="B205" s="106" t="s">
        <v>1525</v>
      </c>
    </row>
    <row r="206" spans="1:2" ht="19.5" x14ac:dyDescent="0.4">
      <c r="A206" s="106" t="s">
        <v>1768</v>
      </c>
      <c r="B206" s="106" t="s">
        <v>1769</v>
      </c>
    </row>
    <row r="207" spans="1:2" ht="19.5" x14ac:dyDescent="0.4">
      <c r="A207" s="106" t="s">
        <v>1770</v>
      </c>
      <c r="B207" s="106" t="s">
        <v>1771</v>
      </c>
    </row>
    <row r="208" spans="1:2" ht="19.5" x14ac:dyDescent="0.4">
      <c r="A208" s="106" t="s">
        <v>1772</v>
      </c>
      <c r="B208" s="106" t="s">
        <v>1773</v>
      </c>
    </row>
    <row r="209" spans="1:2" ht="19.5" x14ac:dyDescent="0.4">
      <c r="A209" s="106" t="s">
        <v>1774</v>
      </c>
      <c r="B209" s="106" t="s">
        <v>1526</v>
      </c>
    </row>
    <row r="210" spans="1:2" ht="19.5" x14ac:dyDescent="0.4">
      <c r="A210" s="106" t="s">
        <v>1775</v>
      </c>
      <c r="B210" s="106" t="s">
        <v>1776</v>
      </c>
    </row>
    <row r="211" spans="1:2" ht="19.5" x14ac:dyDescent="0.4">
      <c r="A211" s="106" t="s">
        <v>1777</v>
      </c>
      <c r="B211" s="106" t="s">
        <v>1778</v>
      </c>
    </row>
    <row r="212" spans="1:2" ht="19.5" x14ac:dyDescent="0.4">
      <c r="A212" s="106" t="s">
        <v>1779</v>
      </c>
      <c r="B212" s="106" t="s">
        <v>1780</v>
      </c>
    </row>
    <row r="213" spans="1:2" ht="19.5" x14ac:dyDescent="0.4">
      <c r="A213" s="106" t="s">
        <v>1118</v>
      </c>
      <c r="B213" s="106" t="s">
        <v>1683</v>
      </c>
    </row>
    <row r="214" spans="1:2" ht="19.5" x14ac:dyDescent="0.4">
      <c r="A214" s="106" t="s">
        <v>1781</v>
      </c>
      <c r="B214" s="106" t="s">
        <v>1782</v>
      </c>
    </row>
    <row r="215" spans="1:2" ht="19.5" x14ac:dyDescent="0.4">
      <c r="A215" s="106" t="s">
        <v>1783</v>
      </c>
      <c r="B215" s="106" t="s">
        <v>1784</v>
      </c>
    </row>
    <row r="216" spans="1:2" ht="19.5" x14ac:dyDescent="0.4">
      <c r="A216" s="106" t="s">
        <v>1785</v>
      </c>
      <c r="B216" s="106" t="s">
        <v>1527</v>
      </c>
    </row>
    <row r="217" spans="1:2" ht="19.5" x14ac:dyDescent="0.4">
      <c r="A217" s="106" t="s">
        <v>1786</v>
      </c>
      <c r="B217" s="106" t="s">
        <v>1528</v>
      </c>
    </row>
    <row r="218" spans="1:2" ht="19.5" x14ac:dyDescent="0.4">
      <c r="A218" s="106" t="s">
        <v>1787</v>
      </c>
      <c r="B218" s="106" t="s">
        <v>1788</v>
      </c>
    </row>
    <row r="219" spans="1:2" ht="19.5" x14ac:dyDescent="0.4">
      <c r="A219" s="106" t="s">
        <v>1789</v>
      </c>
      <c r="B219" s="106" t="s">
        <v>1790</v>
      </c>
    </row>
    <row r="220" spans="1:2" ht="19.5" x14ac:dyDescent="0.4">
      <c r="A220" s="106" t="s">
        <v>1791</v>
      </c>
      <c r="B220" s="106" t="s">
        <v>1792</v>
      </c>
    </row>
    <row r="221" spans="1:2" ht="19.5" x14ac:dyDescent="0.4">
      <c r="A221" s="106" t="s">
        <v>1793</v>
      </c>
      <c r="B221" s="106" t="s">
        <v>1794</v>
      </c>
    </row>
    <row r="222" spans="1:2" ht="19.5" x14ac:dyDescent="0.4">
      <c r="A222" s="106" t="s">
        <v>1795</v>
      </c>
      <c r="B222" s="106" t="s">
        <v>1529</v>
      </c>
    </row>
    <row r="223" spans="1:2" ht="19.5" x14ac:dyDescent="0.4">
      <c r="A223" s="106" t="s">
        <v>1796</v>
      </c>
      <c r="B223" s="106" t="s">
        <v>1530</v>
      </c>
    </row>
    <row r="224" spans="1:2" ht="19.5" x14ac:dyDescent="0.4">
      <c r="A224" s="106" t="s">
        <v>1120</v>
      </c>
      <c r="B224" s="106" t="s">
        <v>1684</v>
      </c>
    </row>
    <row r="225" spans="1:2" ht="19.5" x14ac:dyDescent="0.4">
      <c r="A225" s="106" t="s">
        <v>1797</v>
      </c>
      <c r="B225" s="106" t="s">
        <v>1531</v>
      </c>
    </row>
    <row r="226" spans="1:2" ht="19.5" x14ac:dyDescent="0.4">
      <c r="A226" s="106" t="s">
        <v>1798</v>
      </c>
      <c r="B226" s="106" t="s">
        <v>1532</v>
      </c>
    </row>
    <row r="227" spans="1:2" ht="19.5" x14ac:dyDescent="0.4">
      <c r="A227" s="106" t="s">
        <v>1799</v>
      </c>
      <c r="B227" s="106" t="s">
        <v>1533</v>
      </c>
    </row>
    <row r="228" spans="1:2" ht="19.5" x14ac:dyDescent="0.4">
      <c r="A228" s="106" t="s">
        <v>1800</v>
      </c>
      <c r="B228" s="106" t="s">
        <v>1534</v>
      </c>
    </row>
    <row r="229" spans="1:2" ht="19.5" x14ac:dyDescent="0.4">
      <c r="A229" s="106" t="s">
        <v>1212</v>
      </c>
      <c r="B229" s="106" t="s">
        <v>1812</v>
      </c>
    </row>
    <row r="230" spans="1:2" ht="19.5" x14ac:dyDescent="0.4">
      <c r="A230" s="106" t="s">
        <v>1818</v>
      </c>
      <c r="B230" s="106" t="s">
        <v>1819</v>
      </c>
    </row>
    <row r="231" spans="1:2" ht="19.5" x14ac:dyDescent="0.4">
      <c r="A231" s="106" t="s">
        <v>1820</v>
      </c>
      <c r="B231" s="106" t="s">
        <v>1821</v>
      </c>
    </row>
    <row r="232" spans="1:2" ht="19.5" x14ac:dyDescent="0.4">
      <c r="A232" s="106" t="s">
        <v>1385</v>
      </c>
      <c r="B232" s="106" t="s">
        <v>1538</v>
      </c>
    </row>
    <row r="233" spans="1:2" ht="19.5" x14ac:dyDescent="0.4">
      <c r="A233" s="106" t="s">
        <v>1386</v>
      </c>
      <c r="B233" s="106" t="s">
        <v>1539</v>
      </c>
    </row>
    <row r="234" spans="1:2" ht="19.5" x14ac:dyDescent="0.4">
      <c r="A234" s="106" t="s">
        <v>1387</v>
      </c>
      <c r="B234" s="106" t="s">
        <v>1540</v>
      </c>
    </row>
    <row r="235" spans="1:2" ht="19.5" x14ac:dyDescent="0.4">
      <c r="A235" s="106" t="s">
        <v>1389</v>
      </c>
      <c r="B235" s="106" t="s">
        <v>1541</v>
      </c>
    </row>
    <row r="236" spans="1:2" ht="19.5" x14ac:dyDescent="0.4">
      <c r="A236" s="106" t="s">
        <v>1391</v>
      </c>
      <c r="B236" s="106" t="s">
        <v>1813</v>
      </c>
    </row>
    <row r="237" spans="1:2" ht="19.5" x14ac:dyDescent="0.4">
      <c r="A237" s="106" t="s">
        <v>1814</v>
      </c>
      <c r="B237" s="106" t="s">
        <v>1815</v>
      </c>
    </row>
    <row r="238" spans="1:2" ht="19.5" x14ac:dyDescent="0.4">
      <c r="A238" s="106" t="s">
        <v>1816</v>
      </c>
      <c r="B238" s="106" t="s">
        <v>1542</v>
      </c>
    </row>
    <row r="239" spans="1:2" ht="19.5" x14ac:dyDescent="0.4">
      <c r="A239" s="106" t="s">
        <v>1817</v>
      </c>
      <c r="B239" s="106" t="s">
        <v>1543</v>
      </c>
    </row>
    <row r="240" spans="1:2" ht="19.5" x14ac:dyDescent="0.4">
      <c r="A240" s="106" t="s">
        <v>1258</v>
      </c>
      <c r="B240" s="106" t="s">
        <v>1936</v>
      </c>
    </row>
    <row r="241" spans="1:2" ht="19.5" x14ac:dyDescent="0.4">
      <c r="A241" s="106" t="s">
        <v>1444</v>
      </c>
      <c r="B241" s="106" t="s">
        <v>1564</v>
      </c>
    </row>
    <row r="242" spans="1:2" ht="19.5" x14ac:dyDescent="0.4">
      <c r="A242" s="106" t="s">
        <v>1937</v>
      </c>
      <c r="B242" s="106" t="s">
        <v>1565</v>
      </c>
    </row>
    <row r="243" spans="1:2" ht="19.5" x14ac:dyDescent="0.4">
      <c r="A243" s="106" t="s">
        <v>1278</v>
      </c>
      <c r="B243" s="106" t="s">
        <v>1941</v>
      </c>
    </row>
    <row r="244" spans="1:2" ht="19.5" x14ac:dyDescent="0.4">
      <c r="A244" s="106" t="s">
        <v>1953</v>
      </c>
      <c r="B244" s="106" t="s">
        <v>1569</v>
      </c>
    </row>
    <row r="245" spans="1:2" ht="19.5" x14ac:dyDescent="0.4">
      <c r="A245" s="106" t="s">
        <v>1954</v>
      </c>
      <c r="B245" s="106" t="s">
        <v>1570</v>
      </c>
    </row>
    <row r="246" spans="1:2" ht="19.5" x14ac:dyDescent="0.4">
      <c r="A246" s="106" t="s">
        <v>1955</v>
      </c>
      <c r="B246" s="106" t="s">
        <v>1571</v>
      </c>
    </row>
    <row r="247" spans="1:2" ht="19.5" x14ac:dyDescent="0.4">
      <c r="A247" s="106" t="s">
        <v>1956</v>
      </c>
      <c r="B247" s="106" t="s">
        <v>1572</v>
      </c>
    </row>
    <row r="248" spans="1:2" ht="19.5" x14ac:dyDescent="0.4">
      <c r="A248" s="106" t="s">
        <v>1942</v>
      </c>
      <c r="B248" s="106" t="s">
        <v>1566</v>
      </c>
    </row>
    <row r="249" spans="1:2" ht="19.5" x14ac:dyDescent="0.4">
      <c r="A249" s="106" t="s">
        <v>1943</v>
      </c>
      <c r="B249" s="106" t="s">
        <v>1944</v>
      </c>
    </row>
    <row r="250" spans="1:2" ht="19.5" x14ac:dyDescent="0.4">
      <c r="A250" s="106" t="s">
        <v>1945</v>
      </c>
      <c r="B250" s="106" t="s">
        <v>1567</v>
      </c>
    </row>
    <row r="251" spans="1:2" ht="19.5" x14ac:dyDescent="0.4">
      <c r="A251" s="106" t="s">
        <v>1946</v>
      </c>
      <c r="B251" s="106" t="s">
        <v>1568</v>
      </c>
    </row>
    <row r="252" spans="1:2" ht="19.5" x14ac:dyDescent="0.4">
      <c r="A252" s="106" t="s">
        <v>1947</v>
      </c>
      <c r="B252" s="106" t="s">
        <v>1948</v>
      </c>
    </row>
    <row r="253" spans="1:2" ht="19.5" x14ac:dyDescent="0.4">
      <c r="A253" s="106" t="s">
        <v>1949</v>
      </c>
      <c r="B253" s="106" t="s">
        <v>1613</v>
      </c>
    </row>
    <row r="254" spans="1:2" ht="19.5" x14ac:dyDescent="0.4">
      <c r="A254" s="106" t="s">
        <v>1950</v>
      </c>
      <c r="B254" s="106" t="s">
        <v>3147</v>
      </c>
    </row>
    <row r="255" spans="1:2" ht="19.5" x14ac:dyDescent="0.4">
      <c r="A255" s="106" t="s">
        <v>1951</v>
      </c>
      <c r="B255" s="106" t="s">
        <v>1952</v>
      </c>
    </row>
    <row r="256" spans="1:2" ht="19.5" x14ac:dyDescent="0.4">
      <c r="A256" s="106" t="s">
        <v>1250</v>
      </c>
      <c r="B256" s="106" t="s">
        <v>1822</v>
      </c>
    </row>
    <row r="257" spans="1:2" ht="19.5" x14ac:dyDescent="0.4">
      <c r="A257" s="106" t="s">
        <v>1837</v>
      </c>
      <c r="B257" s="106" t="s">
        <v>1544</v>
      </c>
    </row>
    <row r="258" spans="1:2" ht="19.5" x14ac:dyDescent="0.4">
      <c r="A258" s="106" t="s">
        <v>1838</v>
      </c>
      <c r="B258" s="106" t="s">
        <v>1545</v>
      </c>
    </row>
    <row r="259" spans="1:2" ht="19.5" x14ac:dyDescent="0.4">
      <c r="A259" s="106" t="s">
        <v>1430</v>
      </c>
      <c r="B259" s="106" t="s">
        <v>1823</v>
      </c>
    </row>
    <row r="260" spans="1:2" ht="19.5" x14ac:dyDescent="0.4">
      <c r="A260" s="106" t="s">
        <v>1431</v>
      </c>
      <c r="B260" s="106" t="s">
        <v>1824</v>
      </c>
    </row>
    <row r="261" spans="1:2" ht="19.5" x14ac:dyDescent="0.4">
      <c r="A261" s="106" t="s">
        <v>1825</v>
      </c>
      <c r="B261" s="106" t="s">
        <v>1826</v>
      </c>
    </row>
    <row r="262" spans="1:2" ht="19.5" x14ac:dyDescent="0.4">
      <c r="A262" s="106" t="s">
        <v>1827</v>
      </c>
      <c r="B262" s="106" t="s">
        <v>1828</v>
      </c>
    </row>
    <row r="263" spans="1:2" ht="19.5" x14ac:dyDescent="0.4">
      <c r="A263" s="106" t="s">
        <v>1829</v>
      </c>
      <c r="B263" s="106" t="s">
        <v>1830</v>
      </c>
    </row>
    <row r="264" spans="1:2" ht="19.5" x14ac:dyDescent="0.4">
      <c r="A264" s="106" t="s">
        <v>1831</v>
      </c>
      <c r="B264" s="106" t="s">
        <v>1832</v>
      </c>
    </row>
    <row r="265" spans="1:2" ht="19.5" x14ac:dyDescent="0.4">
      <c r="A265" s="106" t="s">
        <v>1833</v>
      </c>
      <c r="B265" s="106" t="s">
        <v>1834</v>
      </c>
    </row>
    <row r="266" spans="1:2" ht="19.5" x14ac:dyDescent="0.4">
      <c r="A266" s="106" t="s">
        <v>1835</v>
      </c>
      <c r="B266" s="106" t="s">
        <v>1836</v>
      </c>
    </row>
    <row r="267" spans="1:2" ht="19.5" x14ac:dyDescent="0.4">
      <c r="A267" s="106" t="s">
        <v>1248</v>
      </c>
      <c r="B267" s="106" t="s">
        <v>1557</v>
      </c>
    </row>
    <row r="268" spans="1:2" ht="19.5" x14ac:dyDescent="0.4">
      <c r="A268" s="106" t="s">
        <v>1403</v>
      </c>
      <c r="B268" s="106" t="s">
        <v>1558</v>
      </c>
    </row>
    <row r="269" spans="1:2" ht="19.5" x14ac:dyDescent="0.4">
      <c r="A269" s="106" t="s">
        <v>1404</v>
      </c>
      <c r="B269" s="106" t="s">
        <v>1559</v>
      </c>
    </row>
    <row r="270" spans="1:2" ht="19.5" x14ac:dyDescent="0.4">
      <c r="A270" s="106" t="s">
        <v>1406</v>
      </c>
      <c r="B270" s="106" t="s">
        <v>1560</v>
      </c>
    </row>
    <row r="271" spans="1:2" ht="19.5" x14ac:dyDescent="0.4">
      <c r="A271" s="106" t="s">
        <v>1407</v>
      </c>
      <c r="B271" s="106" t="s">
        <v>1561</v>
      </c>
    </row>
    <row r="272" spans="1:2" ht="19.5" x14ac:dyDescent="0.4">
      <c r="A272" s="106" t="s">
        <v>1260</v>
      </c>
      <c r="B272" s="106" t="s">
        <v>1562</v>
      </c>
    </row>
    <row r="273" spans="1:2" ht="19.5" x14ac:dyDescent="0.4">
      <c r="A273" s="106" t="s">
        <v>1418</v>
      </c>
      <c r="B273" s="106" t="s">
        <v>1563</v>
      </c>
    </row>
    <row r="274" spans="1:2" ht="19.5" x14ac:dyDescent="0.4">
      <c r="A274" s="106" t="s">
        <v>1420</v>
      </c>
      <c r="B274" s="106" t="s">
        <v>1931</v>
      </c>
    </row>
    <row r="275" spans="1:2" ht="19.5" x14ac:dyDescent="0.4">
      <c r="A275" s="106" t="s">
        <v>1422</v>
      </c>
      <c r="B275" s="106" t="s">
        <v>1932</v>
      </c>
    </row>
    <row r="276" spans="1:2" ht="19.5" x14ac:dyDescent="0.4">
      <c r="A276" s="106" t="s">
        <v>1424</v>
      </c>
      <c r="B276" s="106" t="s">
        <v>1933</v>
      </c>
    </row>
    <row r="277" spans="1:2" ht="19.5" x14ac:dyDescent="0.4">
      <c r="A277" s="106" t="s">
        <v>1426</v>
      </c>
      <c r="B277" s="106" t="s">
        <v>1934</v>
      </c>
    </row>
    <row r="278" spans="1:2" ht="19.5" x14ac:dyDescent="0.4">
      <c r="A278" s="106" t="s">
        <v>1428</v>
      </c>
      <c r="B278" s="106" t="s">
        <v>1935</v>
      </c>
    </row>
    <row r="279" spans="1:2" ht="19.5" x14ac:dyDescent="0.4">
      <c r="A279" s="106" t="s">
        <v>1252</v>
      </c>
      <c r="B279" s="106" t="s">
        <v>1546</v>
      </c>
    </row>
    <row r="280" spans="1:2" ht="19.5" x14ac:dyDescent="0.4">
      <c r="A280" s="106" t="s">
        <v>1847</v>
      </c>
      <c r="B280" s="106" t="s">
        <v>1549</v>
      </c>
    </row>
    <row r="281" spans="1:2" ht="19.5" x14ac:dyDescent="0.4">
      <c r="A281" s="106" t="s">
        <v>1848</v>
      </c>
      <c r="B281" s="106" t="s">
        <v>1550</v>
      </c>
    </row>
    <row r="282" spans="1:2" ht="19.5" x14ac:dyDescent="0.4">
      <c r="A282" s="106" t="s">
        <v>1849</v>
      </c>
      <c r="B282" s="106" t="s">
        <v>1850</v>
      </c>
    </row>
    <row r="283" spans="1:2" ht="19.5" x14ac:dyDescent="0.4">
      <c r="A283" s="106" t="s">
        <v>1851</v>
      </c>
      <c r="B283" s="106" t="s">
        <v>1551</v>
      </c>
    </row>
    <row r="284" spans="1:2" ht="19.5" x14ac:dyDescent="0.4">
      <c r="A284" s="106" t="s">
        <v>1852</v>
      </c>
      <c r="B284" s="106" t="s">
        <v>1552</v>
      </c>
    </row>
    <row r="285" spans="1:2" ht="19.5" x14ac:dyDescent="0.4">
      <c r="A285" s="106" t="s">
        <v>1254</v>
      </c>
      <c r="B285" s="106" t="s">
        <v>1839</v>
      </c>
    </row>
    <row r="286" spans="1:2" ht="19.5" x14ac:dyDescent="0.4">
      <c r="A286" s="106" t="s">
        <v>1256</v>
      </c>
      <c r="B286" s="106" t="s">
        <v>1547</v>
      </c>
    </row>
    <row r="287" spans="1:2" ht="19.5" x14ac:dyDescent="0.4">
      <c r="A287" s="106" t="s">
        <v>1436</v>
      </c>
      <c r="B287" s="106" t="s">
        <v>1548</v>
      </c>
    </row>
    <row r="288" spans="1:2" ht="19.5" x14ac:dyDescent="0.4">
      <c r="A288" s="106" t="s">
        <v>1438</v>
      </c>
      <c r="B288" s="106" t="s">
        <v>1840</v>
      </c>
    </row>
    <row r="289" spans="1:2" ht="19.5" x14ac:dyDescent="0.4">
      <c r="A289" s="106" t="s">
        <v>1440</v>
      </c>
      <c r="B289" s="106" t="s">
        <v>1841</v>
      </c>
    </row>
    <row r="290" spans="1:2" ht="19.5" x14ac:dyDescent="0.4">
      <c r="A290" s="106" t="s">
        <v>1442</v>
      </c>
      <c r="B290" s="106" t="s">
        <v>1842</v>
      </c>
    </row>
    <row r="291" spans="1:2" ht="19.5" x14ac:dyDescent="0.4">
      <c r="A291" s="106" t="s">
        <v>1843</v>
      </c>
      <c r="B291" s="106" t="s">
        <v>1844</v>
      </c>
    </row>
    <row r="292" spans="1:2" ht="19.5" x14ac:dyDescent="0.4">
      <c r="A292" s="106" t="s">
        <v>1845</v>
      </c>
      <c r="B292" s="106" t="s">
        <v>1846</v>
      </c>
    </row>
    <row r="293" spans="1:2" ht="19.5" x14ac:dyDescent="0.4">
      <c r="A293" s="106" t="s">
        <v>997</v>
      </c>
      <c r="B293" s="106" t="s">
        <v>1603</v>
      </c>
    </row>
    <row r="294" spans="1:2" ht="19.5" x14ac:dyDescent="0.4">
      <c r="A294" s="106" t="s">
        <v>998</v>
      </c>
      <c r="B294" s="106" t="s">
        <v>1604</v>
      </c>
    </row>
    <row r="295" spans="1:2" ht="19.5" x14ac:dyDescent="0.4">
      <c r="A295" s="106" t="s">
        <v>999</v>
      </c>
      <c r="B295" s="106" t="s">
        <v>952</v>
      </c>
    </row>
    <row r="296" spans="1:2" ht="19.5" x14ac:dyDescent="0.4">
      <c r="A296" s="106" t="s">
        <v>1000</v>
      </c>
      <c r="B296" s="106" t="s">
        <v>953</v>
      </c>
    </row>
    <row r="297" spans="1:2" ht="19.5" x14ac:dyDescent="0.4">
      <c r="A297" s="106" t="s">
        <v>1001</v>
      </c>
      <c r="B297" s="106" t="s">
        <v>1605</v>
      </c>
    </row>
    <row r="298" spans="1:2" ht="19.5" x14ac:dyDescent="0.4">
      <c r="A298" s="106" t="s">
        <v>1003</v>
      </c>
      <c r="B298" s="106" t="s">
        <v>893</v>
      </c>
    </row>
    <row r="299" spans="1:2" ht="19.5" x14ac:dyDescent="0.4">
      <c r="A299" s="106" t="s">
        <v>1004</v>
      </c>
      <c r="B299" s="106" t="s">
        <v>894</v>
      </c>
    </row>
    <row r="300" spans="1:2" ht="19.5" x14ac:dyDescent="0.4">
      <c r="A300" s="106" t="s">
        <v>1005</v>
      </c>
      <c r="B300" s="106" t="s">
        <v>895</v>
      </c>
    </row>
    <row r="301" spans="1:2" ht="19.5" x14ac:dyDescent="0.4">
      <c r="A301" s="106" t="s">
        <v>1006</v>
      </c>
      <c r="B301" s="106" t="s">
        <v>897</v>
      </c>
    </row>
    <row r="302" spans="1:2" ht="19.5" x14ac:dyDescent="0.4">
      <c r="A302" s="106" t="s">
        <v>1007</v>
      </c>
      <c r="B302" s="106" t="s">
        <v>896</v>
      </c>
    </row>
    <row r="303" spans="1:2" ht="19.5" x14ac:dyDescent="0.4">
      <c r="A303" s="106" t="s">
        <v>1008</v>
      </c>
      <c r="B303" s="106" t="s">
        <v>1606</v>
      </c>
    </row>
    <row r="304" spans="1:2" ht="19.5" x14ac:dyDescent="0.4">
      <c r="A304" s="106" t="s">
        <v>1009</v>
      </c>
      <c r="B304" s="106" t="s">
        <v>1457</v>
      </c>
    </row>
    <row r="305" spans="1:2" ht="19.5" x14ac:dyDescent="0.4">
      <c r="A305" s="106" t="s">
        <v>1010</v>
      </c>
      <c r="B305" s="106" t="s">
        <v>1458</v>
      </c>
    </row>
    <row r="306" spans="1:2" ht="19.5" x14ac:dyDescent="0.4">
      <c r="A306" s="106" t="s">
        <v>964</v>
      </c>
      <c r="B306" s="106" t="s">
        <v>898</v>
      </c>
    </row>
    <row r="307" spans="1:2" ht="19.5" x14ac:dyDescent="0.4">
      <c r="A307" s="106" t="s">
        <v>1016</v>
      </c>
      <c r="B307" s="106" t="s">
        <v>951</v>
      </c>
    </row>
    <row r="308" spans="1:2" ht="19.5" x14ac:dyDescent="0.4">
      <c r="A308" s="106" t="s">
        <v>1017</v>
      </c>
      <c r="B308" s="106" t="s">
        <v>1607</v>
      </c>
    </row>
    <row r="309" spans="1:2" ht="19.5" x14ac:dyDescent="0.4">
      <c r="A309" s="106" t="s">
        <v>1018</v>
      </c>
      <c r="B309" s="106" t="s">
        <v>1459</v>
      </c>
    </row>
    <row r="310" spans="1:2" ht="19.5" x14ac:dyDescent="0.4">
      <c r="A310" s="106" t="s">
        <v>1020</v>
      </c>
      <c r="B310" s="106" t="s">
        <v>1460</v>
      </c>
    </row>
    <row r="311" spans="1:2" ht="19.5" x14ac:dyDescent="0.4">
      <c r="A311" s="106" t="s">
        <v>970</v>
      </c>
      <c r="B311" s="106" t="s">
        <v>956</v>
      </c>
    </row>
    <row r="312" spans="1:2" ht="19.5" x14ac:dyDescent="0.4">
      <c r="A312" s="106" t="s">
        <v>1021</v>
      </c>
      <c r="B312" s="106" t="s">
        <v>1608</v>
      </c>
    </row>
    <row r="313" spans="1:2" ht="19.5" x14ac:dyDescent="0.4">
      <c r="A313" s="106" t="s">
        <v>1022</v>
      </c>
      <c r="B313" s="106" t="s">
        <v>1609</v>
      </c>
    </row>
    <row r="314" spans="1:2" ht="19.5" x14ac:dyDescent="0.4">
      <c r="A314" s="106" t="s">
        <v>1025</v>
      </c>
      <c r="B314" s="106" t="s">
        <v>1610</v>
      </c>
    </row>
    <row r="315" spans="1:2" ht="19.5" x14ac:dyDescent="0.4">
      <c r="A315" s="106" t="s">
        <v>1024</v>
      </c>
      <c r="B315" s="106" t="s">
        <v>1611</v>
      </c>
    </row>
    <row r="316" spans="1:2" ht="19.5" x14ac:dyDescent="0.4">
      <c r="A316" s="106" t="s">
        <v>1026</v>
      </c>
      <c r="B316" s="106" t="s">
        <v>1461</v>
      </c>
    </row>
    <row r="317" spans="1:2" ht="19.5" x14ac:dyDescent="0.4">
      <c r="A317" s="106" t="s">
        <v>1027</v>
      </c>
      <c r="B317" s="106" t="s">
        <v>1612</v>
      </c>
    </row>
    <row r="318" spans="1:2" ht="19.5" x14ac:dyDescent="0.4">
      <c r="A318" s="106" t="s">
        <v>1029</v>
      </c>
      <c r="B318" s="106" t="s">
        <v>1613</v>
      </c>
    </row>
    <row r="319" spans="1:2" ht="19.5" x14ac:dyDescent="0.4">
      <c r="A319" s="106" t="s">
        <v>1030</v>
      </c>
      <c r="B319" s="106" t="s">
        <v>1614</v>
      </c>
    </row>
    <row r="320" spans="1:2" ht="19.5" x14ac:dyDescent="0.4">
      <c r="A320" s="106" t="s">
        <v>1032</v>
      </c>
      <c r="B320" s="106" t="s">
        <v>1462</v>
      </c>
    </row>
    <row r="321" spans="1:2" ht="19.5" x14ac:dyDescent="0.4">
      <c r="A321" s="106" t="s">
        <v>1034</v>
      </c>
      <c r="B321" s="106" t="s">
        <v>1463</v>
      </c>
    </row>
    <row r="322" spans="1:2" ht="19.5" x14ac:dyDescent="0.4">
      <c r="A322" s="106" t="s">
        <v>1036</v>
      </c>
      <c r="B322" s="106" t="s">
        <v>1615</v>
      </c>
    </row>
    <row r="323" spans="1:2" ht="19.5" x14ac:dyDescent="0.4">
      <c r="A323" s="106" t="s">
        <v>1038</v>
      </c>
      <c r="B323" s="106" t="s">
        <v>1616</v>
      </c>
    </row>
    <row r="324" spans="1:2" ht="19.5" x14ac:dyDescent="0.4">
      <c r="A324" s="106" t="s">
        <v>1039</v>
      </c>
      <c r="B324" s="106" t="s">
        <v>1464</v>
      </c>
    </row>
    <row r="325" spans="1:2" ht="19.5" x14ac:dyDescent="0.4">
      <c r="A325" s="106" t="s">
        <v>1617</v>
      </c>
      <c r="B325" s="106" t="s">
        <v>1618</v>
      </c>
    </row>
    <row r="326" spans="1:2" ht="19.5" x14ac:dyDescent="0.4">
      <c r="A326" s="106" t="s">
        <v>1619</v>
      </c>
      <c r="B326" s="106" t="s">
        <v>1620</v>
      </c>
    </row>
    <row r="327" spans="1:2" ht="19.5" x14ac:dyDescent="0.4">
      <c r="A327" s="106" t="s">
        <v>1621</v>
      </c>
      <c r="B327" s="106" t="s">
        <v>1622</v>
      </c>
    </row>
    <row r="328" spans="1:2" ht="19.5" x14ac:dyDescent="0.4">
      <c r="A328" s="106" t="s">
        <v>1623</v>
      </c>
      <c r="B328" s="106" t="s">
        <v>1624</v>
      </c>
    </row>
    <row r="329" spans="1:2" ht="19.5" x14ac:dyDescent="0.4">
      <c r="A329" s="106" t="s">
        <v>1625</v>
      </c>
      <c r="B329" s="106" t="s">
        <v>1465</v>
      </c>
    </row>
    <row r="330" spans="1:2" ht="19.5" x14ac:dyDescent="0.4">
      <c r="A330" s="106" t="s">
        <v>1626</v>
      </c>
      <c r="B330" s="106" t="s">
        <v>1466</v>
      </c>
    </row>
    <row r="331" spans="1:2" ht="19.5" x14ac:dyDescent="0.4">
      <c r="A331" s="106" t="s">
        <v>1627</v>
      </c>
      <c r="B331" s="106" t="s">
        <v>1467</v>
      </c>
    </row>
    <row r="332" spans="1:2" ht="19.5" x14ac:dyDescent="0.4">
      <c r="A332" s="106" t="s">
        <v>1628</v>
      </c>
      <c r="B332" s="106" t="s">
        <v>1629</v>
      </c>
    </row>
    <row r="333" spans="1:2" ht="19.5" x14ac:dyDescent="0.4">
      <c r="A333" s="106" t="s">
        <v>1630</v>
      </c>
      <c r="B333" s="106" t="s">
        <v>1631</v>
      </c>
    </row>
    <row r="334" spans="1:2" ht="19.5" x14ac:dyDescent="0.4">
      <c r="A334" s="106" t="s">
        <v>1632</v>
      </c>
      <c r="B334" s="106" t="s">
        <v>1215</v>
      </c>
    </row>
    <row r="335" spans="1:2" ht="19.5" x14ac:dyDescent="0.4">
      <c r="A335" s="106" t="s">
        <v>1633</v>
      </c>
      <c r="B335" s="107" t="s">
        <v>1468</v>
      </c>
    </row>
    <row r="336" spans="1:2" ht="19.5" x14ac:dyDescent="0.4">
      <c r="A336" s="106" t="s">
        <v>1634</v>
      </c>
      <c r="B336" s="106" t="s">
        <v>1469</v>
      </c>
    </row>
    <row r="337" spans="1:2" ht="19.5" x14ac:dyDescent="0.4">
      <c r="A337" s="106" t="s">
        <v>1635</v>
      </c>
      <c r="B337" s="106" t="s">
        <v>1470</v>
      </c>
    </row>
    <row r="338" spans="1:2" ht="19.5" x14ac:dyDescent="0.4">
      <c r="A338" s="106" t="s">
        <v>966</v>
      </c>
      <c r="B338" s="106" t="s">
        <v>1471</v>
      </c>
    </row>
    <row r="339" spans="1:2" ht="19.5" x14ac:dyDescent="0.4">
      <c r="A339" s="106" t="s">
        <v>968</v>
      </c>
      <c r="B339" s="106" t="s">
        <v>1472</v>
      </c>
    </row>
    <row r="340" spans="1:2" ht="19.5" x14ac:dyDescent="0.4">
      <c r="A340" s="106" t="s">
        <v>969</v>
      </c>
      <c r="B340" s="106" t="s">
        <v>1473</v>
      </c>
    </row>
    <row r="341" spans="1:2" ht="19.5" x14ac:dyDescent="0.4">
      <c r="A341" s="106" t="s">
        <v>971</v>
      </c>
      <c r="B341" s="106" t="s">
        <v>972</v>
      </c>
    </row>
    <row r="342" spans="1:2" ht="19.5" x14ac:dyDescent="0.4">
      <c r="A342" s="106" t="s">
        <v>973</v>
      </c>
      <c r="B342" s="106" t="s">
        <v>974</v>
      </c>
    </row>
    <row r="343" spans="1:2" ht="19.5" x14ac:dyDescent="0.4">
      <c r="A343" s="106" t="s">
        <v>975</v>
      </c>
      <c r="B343" s="106" t="s">
        <v>981</v>
      </c>
    </row>
    <row r="344" spans="1:2" ht="19.5" x14ac:dyDescent="0.4">
      <c r="A344" s="106" t="s">
        <v>1636</v>
      </c>
      <c r="B344" s="106" t="s">
        <v>1637</v>
      </c>
    </row>
    <row r="345" spans="1:2" ht="19.5" x14ac:dyDescent="0.4">
      <c r="A345" s="106" t="s">
        <v>1276</v>
      </c>
      <c r="B345" s="106" t="s">
        <v>1938</v>
      </c>
    </row>
    <row r="346" spans="1:2" ht="19.5" x14ac:dyDescent="0.4">
      <c r="A346" s="106" t="s">
        <v>1939</v>
      </c>
      <c r="B346" s="106" t="s">
        <v>1940</v>
      </c>
    </row>
    <row r="347" spans="1:2" ht="19.5" x14ac:dyDescent="0.4">
      <c r="A347" s="106" t="s">
        <v>1280</v>
      </c>
      <c r="B347" s="106" t="s">
        <v>1573</v>
      </c>
    </row>
    <row r="348" spans="1:2" ht="19.5" x14ac:dyDescent="0.4">
      <c r="A348" s="106" t="s">
        <v>1958</v>
      </c>
      <c r="B348" s="106" t="s">
        <v>1582</v>
      </c>
    </row>
    <row r="349" spans="1:2" ht="19.5" x14ac:dyDescent="0.4">
      <c r="A349" s="106" t="s">
        <v>1959</v>
      </c>
      <c r="B349" s="106" t="s">
        <v>1583</v>
      </c>
    </row>
    <row r="350" spans="1:2" ht="19.5" x14ac:dyDescent="0.4">
      <c r="A350" s="106" t="s">
        <v>1960</v>
      </c>
      <c r="B350" s="106" t="s">
        <v>1584</v>
      </c>
    </row>
    <row r="351" spans="1:2" ht="19.5" x14ac:dyDescent="0.4">
      <c r="A351" s="106" t="s">
        <v>1961</v>
      </c>
      <c r="B351" s="106" t="s">
        <v>1962</v>
      </c>
    </row>
    <row r="352" spans="1:2" ht="19.5" x14ac:dyDescent="0.4">
      <c r="A352" s="106" t="s">
        <v>1963</v>
      </c>
      <c r="B352" s="106" t="s">
        <v>1964</v>
      </c>
    </row>
    <row r="353" spans="1:2" ht="19.5" x14ac:dyDescent="0.4">
      <c r="A353" s="106" t="s">
        <v>1965</v>
      </c>
      <c r="B353" s="106" t="s">
        <v>1966</v>
      </c>
    </row>
    <row r="354" spans="1:2" ht="19.5" x14ac:dyDescent="0.4">
      <c r="A354" s="106" t="s">
        <v>1967</v>
      </c>
      <c r="B354" s="106" t="s">
        <v>1968</v>
      </c>
    </row>
    <row r="355" spans="1:2" ht="19.5" x14ac:dyDescent="0.4">
      <c r="A355" s="106" t="s">
        <v>1969</v>
      </c>
      <c r="B355" s="106" t="s">
        <v>1970</v>
      </c>
    </row>
    <row r="356" spans="1:2" ht="19.5" x14ac:dyDescent="0.4">
      <c r="A356" s="106" t="s">
        <v>1971</v>
      </c>
      <c r="B356" s="106" t="s">
        <v>1972</v>
      </c>
    </row>
    <row r="357" spans="1:2" ht="19.5" x14ac:dyDescent="0.4">
      <c r="A357" s="106" t="s">
        <v>1973</v>
      </c>
      <c r="B357" s="106" t="s">
        <v>1974</v>
      </c>
    </row>
    <row r="358" spans="1:2" ht="19.5" x14ac:dyDescent="0.4">
      <c r="A358" s="106" t="s">
        <v>1282</v>
      </c>
      <c r="B358" s="106" t="s">
        <v>1574</v>
      </c>
    </row>
    <row r="359" spans="1:2" ht="19.5" x14ac:dyDescent="0.4">
      <c r="A359" s="106" t="s">
        <v>1975</v>
      </c>
      <c r="B359" s="106" t="s">
        <v>1976</v>
      </c>
    </row>
    <row r="360" spans="1:2" ht="19.5" x14ac:dyDescent="0.4">
      <c r="A360" s="106" t="s">
        <v>1977</v>
      </c>
      <c r="B360" s="106" t="s">
        <v>1585</v>
      </c>
    </row>
    <row r="361" spans="1:2" ht="19.5" x14ac:dyDescent="0.4">
      <c r="A361" s="106" t="s">
        <v>1978</v>
      </c>
      <c r="B361" s="106" t="s">
        <v>1979</v>
      </c>
    </row>
    <row r="362" spans="1:2" ht="19.5" x14ac:dyDescent="0.4">
      <c r="A362" s="106" t="s">
        <v>1980</v>
      </c>
      <c r="B362" s="106" t="s">
        <v>1981</v>
      </c>
    </row>
    <row r="363" spans="1:2" ht="19.5" x14ac:dyDescent="0.4">
      <c r="A363" s="106" t="s">
        <v>1982</v>
      </c>
      <c r="B363" s="106" t="s">
        <v>1983</v>
      </c>
    </row>
    <row r="364" spans="1:2" ht="19.5" x14ac:dyDescent="0.4">
      <c r="A364" s="106" t="s">
        <v>1984</v>
      </c>
      <c r="B364" s="106" t="s">
        <v>1985</v>
      </c>
    </row>
    <row r="365" spans="1:2" ht="19.5" x14ac:dyDescent="0.4">
      <c r="A365" s="106" t="s">
        <v>1986</v>
      </c>
      <c r="B365" s="106" t="s">
        <v>1987</v>
      </c>
    </row>
    <row r="366" spans="1:2" ht="19.5" x14ac:dyDescent="0.4">
      <c r="A366" s="106" t="s">
        <v>1988</v>
      </c>
      <c r="B366" s="106" t="s">
        <v>1989</v>
      </c>
    </row>
    <row r="367" spans="1:2" ht="19.5" x14ac:dyDescent="0.4">
      <c r="A367" s="106" t="s">
        <v>1990</v>
      </c>
      <c r="B367" s="106" t="s">
        <v>1991</v>
      </c>
    </row>
    <row r="368" spans="1:2" ht="19.5" x14ac:dyDescent="0.4">
      <c r="A368" s="106" t="s">
        <v>1992</v>
      </c>
      <c r="B368" s="106" t="s">
        <v>1993</v>
      </c>
    </row>
    <row r="369" spans="1:2" ht="19.5" x14ac:dyDescent="0.4">
      <c r="A369" s="106" t="s">
        <v>1284</v>
      </c>
      <c r="B369" s="106" t="s">
        <v>1575</v>
      </c>
    </row>
    <row r="370" spans="1:2" ht="19.5" x14ac:dyDescent="0.4">
      <c r="A370" s="106" t="s">
        <v>1994</v>
      </c>
      <c r="B370" s="106" t="s">
        <v>1995</v>
      </c>
    </row>
    <row r="371" spans="1:2" ht="19.5" x14ac:dyDescent="0.4">
      <c r="A371" s="106" t="s">
        <v>1996</v>
      </c>
      <c r="B371" s="106" t="s">
        <v>1586</v>
      </c>
    </row>
    <row r="372" spans="1:2" ht="19.5" x14ac:dyDescent="0.4">
      <c r="A372" s="106" t="s">
        <v>1997</v>
      </c>
      <c r="B372" s="106" t="s">
        <v>1587</v>
      </c>
    </row>
    <row r="373" spans="1:2" ht="19.5" x14ac:dyDescent="0.4">
      <c r="A373" s="106" t="s">
        <v>1998</v>
      </c>
      <c r="B373" s="106" t="s">
        <v>1588</v>
      </c>
    </row>
    <row r="374" spans="1:2" ht="19.5" x14ac:dyDescent="0.4">
      <c r="A374" s="106" t="s">
        <v>1999</v>
      </c>
      <c r="B374" s="106" t="s">
        <v>1589</v>
      </c>
    </row>
    <row r="375" spans="1:2" ht="19.5" x14ac:dyDescent="0.4">
      <c r="A375" s="106" t="s">
        <v>2000</v>
      </c>
      <c r="B375" s="106" t="s">
        <v>1590</v>
      </c>
    </row>
    <row r="376" spans="1:2" ht="19.5" x14ac:dyDescent="0.4">
      <c r="A376" s="106" t="s">
        <v>2001</v>
      </c>
      <c r="B376" s="106" t="s">
        <v>1591</v>
      </c>
    </row>
    <row r="377" spans="1:2" ht="19.5" x14ac:dyDescent="0.4">
      <c r="A377" s="106" t="s">
        <v>2002</v>
      </c>
      <c r="B377" s="106" t="s">
        <v>1592</v>
      </c>
    </row>
    <row r="378" spans="1:2" ht="19.5" x14ac:dyDescent="0.4">
      <c r="A378" s="106" t="s">
        <v>2003</v>
      </c>
      <c r="B378" s="106" t="s">
        <v>2004</v>
      </c>
    </row>
    <row r="379" spans="1:2" ht="19.5" x14ac:dyDescent="0.4">
      <c r="A379" s="106" t="s">
        <v>2005</v>
      </c>
      <c r="B379" s="106" t="s">
        <v>1593</v>
      </c>
    </row>
    <row r="380" spans="1:2" ht="19.5" x14ac:dyDescent="0.4">
      <c r="A380" s="106" t="s">
        <v>1286</v>
      </c>
      <c r="B380" s="106" t="s">
        <v>1576</v>
      </c>
    </row>
    <row r="381" spans="1:2" ht="19.5" x14ac:dyDescent="0.4">
      <c r="A381" s="106" t="s">
        <v>2006</v>
      </c>
      <c r="B381" s="106" t="s">
        <v>2007</v>
      </c>
    </row>
    <row r="382" spans="1:2" ht="19.5" x14ac:dyDescent="0.4">
      <c r="A382" s="106" t="s">
        <v>2008</v>
      </c>
      <c r="B382" s="106" t="s">
        <v>2009</v>
      </c>
    </row>
    <row r="383" spans="1:2" ht="19.5" x14ac:dyDescent="0.4">
      <c r="A383" s="106" t="s">
        <v>2010</v>
      </c>
      <c r="B383" s="106" t="s">
        <v>1594</v>
      </c>
    </row>
    <row r="384" spans="1:2" ht="19.5" x14ac:dyDescent="0.4">
      <c r="A384" s="106" t="s">
        <v>2011</v>
      </c>
      <c r="B384" s="106" t="s">
        <v>2012</v>
      </c>
    </row>
    <row r="385" spans="1:2" ht="19.5" x14ac:dyDescent="0.4">
      <c r="A385" s="106" t="s">
        <v>2013</v>
      </c>
      <c r="B385" s="106" t="s">
        <v>2014</v>
      </c>
    </row>
    <row r="386" spans="1:2" ht="19.5" x14ac:dyDescent="0.4">
      <c r="A386" s="106" t="s">
        <v>2015</v>
      </c>
      <c r="B386" s="106" t="s">
        <v>1595</v>
      </c>
    </row>
    <row r="387" spans="1:2" ht="19.5" x14ac:dyDescent="0.4">
      <c r="A387" s="106" t="s">
        <v>2016</v>
      </c>
      <c r="B387" s="106" t="s">
        <v>1596</v>
      </c>
    </row>
    <row r="388" spans="1:2" ht="19.5" x14ac:dyDescent="0.4">
      <c r="A388" s="106" t="s">
        <v>2017</v>
      </c>
      <c r="B388" s="106" t="s">
        <v>1597</v>
      </c>
    </row>
    <row r="389" spans="1:2" ht="19.5" x14ac:dyDescent="0.4">
      <c r="A389" s="106" t="s">
        <v>2018</v>
      </c>
      <c r="B389" s="106" t="s">
        <v>2019</v>
      </c>
    </row>
    <row r="390" spans="1:2" ht="19.5" x14ac:dyDescent="0.4">
      <c r="A390" s="106" t="s">
        <v>2020</v>
      </c>
      <c r="B390" s="106" t="s">
        <v>1598</v>
      </c>
    </row>
    <row r="391" spans="1:2" ht="19.5" x14ac:dyDescent="0.4">
      <c r="A391" s="106" t="s">
        <v>1288</v>
      </c>
      <c r="B391" s="106" t="s">
        <v>1577</v>
      </c>
    </row>
    <row r="392" spans="1:2" ht="19.5" x14ac:dyDescent="0.4">
      <c r="A392" s="106" t="s">
        <v>1290</v>
      </c>
      <c r="B392" s="106" t="s">
        <v>1578</v>
      </c>
    </row>
    <row r="393" spans="1:2" ht="19.5" x14ac:dyDescent="0.4">
      <c r="A393" s="106" t="s">
        <v>1292</v>
      </c>
      <c r="B393" s="106" t="s">
        <v>1579</v>
      </c>
    </row>
    <row r="394" spans="1:2" ht="19.5" x14ac:dyDescent="0.4">
      <c r="A394" s="106" t="s">
        <v>1294</v>
      </c>
      <c r="B394" s="106" t="s">
        <v>1580</v>
      </c>
    </row>
    <row r="395" spans="1:2" ht="19.5" x14ac:dyDescent="0.4">
      <c r="A395" s="106" t="s">
        <v>1957</v>
      </c>
      <c r="B395" s="106" t="s">
        <v>1581</v>
      </c>
    </row>
    <row r="396" spans="1:2" ht="19.5" x14ac:dyDescent="0.4">
      <c r="A396" s="106" t="s">
        <v>2737</v>
      </c>
      <c r="B396" s="106" t="s">
        <v>2738</v>
      </c>
    </row>
    <row r="397" spans="1:2" ht="19.5" x14ac:dyDescent="0.4">
      <c r="A397" s="106" t="s">
        <v>2739</v>
      </c>
      <c r="B397" s="106" t="s">
        <v>2740</v>
      </c>
    </row>
    <row r="398" spans="1:2" ht="19.5" x14ac:dyDescent="0.4">
      <c r="A398" s="106" t="s">
        <v>2744</v>
      </c>
      <c r="B398" s="106" t="s">
        <v>2745</v>
      </c>
    </row>
    <row r="399" spans="1:2" ht="19.5" x14ac:dyDescent="0.4">
      <c r="A399" s="106" t="s">
        <v>2746</v>
      </c>
      <c r="B399" s="106" t="s">
        <v>2747</v>
      </c>
    </row>
    <row r="400" spans="1:2" ht="19.5" x14ac:dyDescent="0.4">
      <c r="A400" s="106" t="s">
        <v>2748</v>
      </c>
      <c r="B400" s="106" t="s">
        <v>2749</v>
      </c>
    </row>
    <row r="401" spans="1:2" ht="19.5" x14ac:dyDescent="0.4">
      <c r="A401" s="106" t="s">
        <v>2970</v>
      </c>
      <c r="B401" s="106" t="s">
        <v>2969</v>
      </c>
    </row>
    <row r="402" spans="1:2" ht="19.5" x14ac:dyDescent="0.4">
      <c r="A402" s="106" t="s">
        <v>2971</v>
      </c>
      <c r="B402" s="106" t="s">
        <v>2957</v>
      </c>
    </row>
    <row r="403" spans="1:2" ht="19.5" x14ac:dyDescent="0.4">
      <c r="A403" s="106" t="s">
        <v>2972</v>
      </c>
      <c r="B403" s="106" t="s">
        <v>2958</v>
      </c>
    </row>
    <row r="404" spans="1:2" ht="19.5" x14ac:dyDescent="0.4">
      <c r="A404" s="106" t="s">
        <v>2973</v>
      </c>
      <c r="B404" s="106" t="s">
        <v>2959</v>
      </c>
    </row>
    <row r="405" spans="1:2" ht="19.5" x14ac:dyDescent="0.4">
      <c r="A405" s="106" t="s">
        <v>2974</v>
      </c>
      <c r="B405" s="106" t="s">
        <v>2960</v>
      </c>
    </row>
    <row r="406" spans="1:2" ht="19.5" x14ac:dyDescent="0.4">
      <c r="A406" s="106" t="s">
        <v>2975</v>
      </c>
      <c r="B406" s="106" t="s">
        <v>2961</v>
      </c>
    </row>
    <row r="407" spans="1:2" ht="19.5" x14ac:dyDescent="0.4">
      <c r="A407" s="106" t="s">
        <v>2976</v>
      </c>
      <c r="B407" s="106" t="s">
        <v>2982</v>
      </c>
    </row>
    <row r="408" spans="1:2" ht="19.5" x14ac:dyDescent="0.4">
      <c r="A408" s="106" t="s">
        <v>2977</v>
      </c>
      <c r="B408" s="106" t="s">
        <v>2983</v>
      </c>
    </row>
    <row r="409" spans="1:2" ht="19.5" x14ac:dyDescent="0.4">
      <c r="A409" s="106" t="s">
        <v>2978</v>
      </c>
      <c r="B409" s="106" t="s">
        <v>2984</v>
      </c>
    </row>
    <row r="410" spans="1:2" ht="19.5" x14ac:dyDescent="0.4">
      <c r="A410" s="106" t="s">
        <v>2979</v>
      </c>
      <c r="B410" s="106" t="s">
        <v>2985</v>
      </c>
    </row>
    <row r="411" spans="1:2" ht="19.5" x14ac:dyDescent="0.4">
      <c r="A411" s="106" t="s">
        <v>2980</v>
      </c>
      <c r="B411" s="106" t="s">
        <v>2986</v>
      </c>
    </row>
    <row r="412" spans="1:2" ht="19.5" x14ac:dyDescent="0.4">
      <c r="A412" s="106" t="s">
        <v>2981</v>
      </c>
      <c r="B412" s="106" t="s">
        <v>2987</v>
      </c>
    </row>
    <row r="413" spans="1:2" ht="19.5" x14ac:dyDescent="0.4">
      <c r="A413" s="106" t="s">
        <v>2989</v>
      </c>
      <c r="B413" s="106" t="s">
        <v>2988</v>
      </c>
    </row>
    <row r="414" spans="1:2" ht="19.5" x14ac:dyDescent="0.4">
      <c r="A414" s="106" t="s">
        <v>2990</v>
      </c>
      <c r="B414" s="106" t="s">
        <v>2962</v>
      </c>
    </row>
    <row r="415" spans="1:2" ht="19.5" x14ac:dyDescent="0.4">
      <c r="A415" s="106" t="s">
        <v>2991</v>
      </c>
      <c r="B415" s="106" t="s">
        <v>2963</v>
      </c>
    </row>
    <row r="416" spans="1:2" ht="19.5" x14ac:dyDescent="0.4">
      <c r="A416" s="106" t="s">
        <v>2992</v>
      </c>
      <c r="B416" s="106" t="s">
        <v>2964</v>
      </c>
    </row>
    <row r="417" spans="1:2" ht="19.5" x14ac:dyDescent="0.4">
      <c r="A417" s="106" t="s">
        <v>2993</v>
      </c>
      <c r="B417" s="106" t="s">
        <v>2965</v>
      </c>
    </row>
    <row r="418" spans="1:2" ht="19.5" x14ac:dyDescent="0.4">
      <c r="A418" s="106" t="s">
        <v>2994</v>
      </c>
      <c r="B418" s="106" t="s">
        <v>2966</v>
      </c>
    </row>
    <row r="419" spans="1:2" ht="19.5" x14ac:dyDescent="0.4">
      <c r="A419" s="106" t="s">
        <v>2996</v>
      </c>
      <c r="B419" s="106" t="s">
        <v>2995</v>
      </c>
    </row>
    <row r="420" spans="1:2" ht="19.5" x14ac:dyDescent="0.4">
      <c r="A420" s="106" t="s">
        <v>2998</v>
      </c>
      <c r="B420" s="106" t="s">
        <v>2997</v>
      </c>
    </row>
    <row r="421" spans="1:2" ht="19.5" x14ac:dyDescent="0.4">
      <c r="A421" s="106" t="s">
        <v>3000</v>
      </c>
      <c r="B421" s="106" t="s">
        <v>2999</v>
      </c>
    </row>
    <row r="422" spans="1:2" ht="19.5" x14ac:dyDescent="0.4">
      <c r="A422" s="106" t="s">
        <v>3002</v>
      </c>
      <c r="B422" s="106" t="s">
        <v>3001</v>
      </c>
    </row>
    <row r="423" spans="1:2" ht="19.5" x14ac:dyDescent="0.4">
      <c r="A423" s="106" t="s">
        <v>3003</v>
      </c>
      <c r="B423" s="106" t="s">
        <v>3005</v>
      </c>
    </row>
    <row r="424" spans="1:2" ht="19.5" x14ac:dyDescent="0.4">
      <c r="A424" s="106" t="s">
        <v>3006</v>
      </c>
      <c r="B424" s="106" t="s">
        <v>3004</v>
      </c>
    </row>
    <row r="425" spans="1:2" ht="19.5" x14ac:dyDescent="0.4">
      <c r="A425" s="106" t="s">
        <v>3008</v>
      </c>
      <c r="B425" s="106" t="s">
        <v>3007</v>
      </c>
    </row>
    <row r="426" spans="1:2" ht="19.5" x14ac:dyDescent="0.4">
      <c r="A426" s="106" t="s">
        <v>3010</v>
      </c>
      <c r="B426" s="106" t="s">
        <v>3009</v>
      </c>
    </row>
    <row r="427" spans="1:2" ht="19.5" x14ac:dyDescent="0.4">
      <c r="A427" s="106" t="s">
        <v>3011</v>
      </c>
      <c r="B427" s="106" t="s">
        <v>3013</v>
      </c>
    </row>
    <row r="428" spans="1:2" ht="19.5" x14ac:dyDescent="0.4">
      <c r="A428" s="106" t="s">
        <v>3014</v>
      </c>
      <c r="B428" s="106" t="s">
        <v>3012</v>
      </c>
    </row>
    <row r="429" spans="1:2" ht="19.5" x14ac:dyDescent="0.4">
      <c r="A429" s="106" t="s">
        <v>3016</v>
      </c>
      <c r="B429" s="106" t="s">
        <v>3015</v>
      </c>
    </row>
    <row r="430" spans="1:2" ht="19.5" x14ac:dyDescent="0.4">
      <c r="A430" s="106" t="s">
        <v>3018</v>
      </c>
      <c r="B430" s="106" t="s">
        <v>3017</v>
      </c>
    </row>
    <row r="431" spans="1:2" ht="19.5" x14ac:dyDescent="0.4">
      <c r="A431" s="106" t="s">
        <v>3020</v>
      </c>
      <c r="B431" s="106" t="s">
        <v>3019</v>
      </c>
    </row>
    <row r="432" spans="1:2" ht="19.5" x14ac:dyDescent="0.4">
      <c r="A432" s="106" t="s">
        <v>3021</v>
      </c>
      <c r="B432" s="106" t="s">
        <v>2967</v>
      </c>
    </row>
    <row r="433" spans="1:2" ht="19.5" x14ac:dyDescent="0.4">
      <c r="A433" s="106" t="s">
        <v>3022</v>
      </c>
      <c r="B433" s="106" t="s">
        <v>2968</v>
      </c>
    </row>
    <row r="434" spans="1:2" ht="19.5" x14ac:dyDescent="0.4">
      <c r="A434" s="106" t="s">
        <v>3024</v>
      </c>
      <c r="B434" s="106" t="s">
        <v>3023</v>
      </c>
    </row>
    <row r="435" spans="1:2" ht="19.5" x14ac:dyDescent="0.4">
      <c r="A435" s="106" t="s">
        <v>3026</v>
      </c>
      <c r="B435" s="106" t="s">
        <v>3025</v>
      </c>
    </row>
    <row r="436" spans="1:2" ht="19.5" x14ac:dyDescent="0.4">
      <c r="A436" s="106" t="s">
        <v>3028</v>
      </c>
      <c r="B436" s="106" t="s">
        <v>3027</v>
      </c>
    </row>
    <row r="437" spans="1:2" ht="19.5" x14ac:dyDescent="0.4">
      <c r="A437" s="106" t="s">
        <v>3030</v>
      </c>
      <c r="B437" s="106" t="s">
        <v>3029</v>
      </c>
    </row>
    <row r="438" spans="1:2" ht="19.5" x14ac:dyDescent="0.4">
      <c r="A438" s="106" t="s">
        <v>3032</v>
      </c>
      <c r="B438" s="106" t="s">
        <v>3031</v>
      </c>
    </row>
    <row r="439" spans="1:2" ht="19.5" x14ac:dyDescent="0.4">
      <c r="A439" s="106" t="s">
        <v>3034</v>
      </c>
      <c r="B439" s="106" t="s">
        <v>3033</v>
      </c>
    </row>
    <row r="440" spans="1:2" ht="19.5" x14ac:dyDescent="0.4">
      <c r="A440" s="106" t="s">
        <v>3036</v>
      </c>
      <c r="B440" s="106" t="s">
        <v>3035</v>
      </c>
    </row>
    <row r="441" spans="1:2" ht="19.5" x14ac:dyDescent="0.4">
      <c r="A441" s="106" t="s">
        <v>3038</v>
      </c>
      <c r="B441" s="106" t="s">
        <v>3037</v>
      </c>
    </row>
    <row r="442" spans="1:2" ht="19.5" x14ac:dyDescent="0.4">
      <c r="A442" s="106" t="s">
        <v>3041</v>
      </c>
      <c r="B442" s="106" t="s">
        <v>3039</v>
      </c>
    </row>
    <row r="443" spans="1:2" ht="19.5" x14ac:dyDescent="0.4">
      <c r="A443" s="106" t="s">
        <v>3042</v>
      </c>
      <c r="B443" s="106" t="s">
        <v>3040</v>
      </c>
    </row>
    <row r="444" spans="1:2" ht="19.5" x14ac:dyDescent="0.4">
      <c r="A444" s="106" t="s">
        <v>3044</v>
      </c>
      <c r="B444" s="106" t="s">
        <v>3043</v>
      </c>
    </row>
    <row r="445" spans="1:2" ht="19.5" x14ac:dyDescent="0.4">
      <c r="A445" s="106" t="s">
        <v>3046</v>
      </c>
      <c r="B445" s="106" t="s">
        <v>3045</v>
      </c>
    </row>
    <row r="446" spans="1:2" ht="19.5" x14ac:dyDescent="0.4">
      <c r="A446" s="106" t="s">
        <v>3048</v>
      </c>
      <c r="B446" s="106" t="s">
        <v>3047</v>
      </c>
    </row>
    <row r="447" spans="1:2" ht="19.5" x14ac:dyDescent="0.4">
      <c r="A447" s="106" t="s">
        <v>3050</v>
      </c>
      <c r="B447" s="106" t="s">
        <v>3049</v>
      </c>
    </row>
    <row r="448" spans="1:2" ht="19.5" x14ac:dyDescent="0.4">
      <c r="A448" s="106" t="s">
        <v>3052</v>
      </c>
      <c r="B448" s="106" t="s">
        <v>3051</v>
      </c>
    </row>
    <row r="449" spans="1:2" ht="19.5" x14ac:dyDescent="0.4">
      <c r="A449" s="106" t="s">
        <v>3054</v>
      </c>
      <c r="B449" s="106" t="s">
        <v>3053</v>
      </c>
    </row>
    <row r="450" spans="1:2" ht="19.5" x14ac:dyDescent="0.4">
      <c r="A450" s="106" t="s">
        <v>3056</v>
      </c>
      <c r="B450" s="106" t="s">
        <v>3055</v>
      </c>
    </row>
    <row r="451" spans="1:2" ht="19.5" x14ac:dyDescent="0.4">
      <c r="A451" s="106" t="s">
        <v>3058</v>
      </c>
      <c r="B451" s="106" t="s">
        <v>3057</v>
      </c>
    </row>
    <row r="452" spans="1:2" ht="19.5" x14ac:dyDescent="0.4">
      <c r="A452" s="106" t="s">
        <v>3060</v>
      </c>
      <c r="B452" s="106" t="s">
        <v>3059</v>
      </c>
    </row>
    <row r="453" spans="1:2" ht="19.5" x14ac:dyDescent="0.4">
      <c r="A453" s="106" t="s">
        <v>3062</v>
      </c>
      <c r="B453" s="106" t="s">
        <v>3061</v>
      </c>
    </row>
    <row r="454" spans="1:2" ht="19.5" x14ac:dyDescent="0.4">
      <c r="A454" s="106" t="s">
        <v>3064</v>
      </c>
      <c r="B454" s="106" t="s">
        <v>3063</v>
      </c>
    </row>
    <row r="455" spans="1:2" ht="19.5" x14ac:dyDescent="0.4">
      <c r="A455" s="106" t="s">
        <v>3066</v>
      </c>
      <c r="B455" s="106" t="s">
        <v>3065</v>
      </c>
    </row>
    <row r="456" spans="1:2" ht="19.5" x14ac:dyDescent="0.4">
      <c r="A456" s="106" t="s">
        <v>3068</v>
      </c>
      <c r="B456" s="106" t="s">
        <v>3067</v>
      </c>
    </row>
    <row r="457" spans="1:2" ht="19.5" x14ac:dyDescent="0.4">
      <c r="A457" s="106" t="s">
        <v>3070</v>
      </c>
      <c r="B457" s="106" t="s">
        <v>3069</v>
      </c>
    </row>
    <row r="458" spans="1:2" ht="19.5" x14ac:dyDescent="0.4">
      <c r="A458" s="106" t="s">
        <v>3072</v>
      </c>
      <c r="B458" s="106" t="s">
        <v>3071</v>
      </c>
    </row>
    <row r="459" spans="1:2" ht="19.5" x14ac:dyDescent="0.4">
      <c r="A459" s="106" t="s">
        <v>3074</v>
      </c>
      <c r="B459" s="106" t="s">
        <v>3073</v>
      </c>
    </row>
    <row r="460" spans="1:2" ht="19.5" x14ac:dyDescent="0.4">
      <c r="A460" s="106" t="s">
        <v>3075</v>
      </c>
      <c r="B460" s="106" t="s">
        <v>3076</v>
      </c>
    </row>
    <row r="461" spans="1:2" ht="19.5" x14ac:dyDescent="0.4">
      <c r="A461" s="106" t="s">
        <v>3077</v>
      </c>
      <c r="B461" s="106" t="s">
        <v>3079</v>
      </c>
    </row>
    <row r="462" spans="1:2" ht="19.5" x14ac:dyDescent="0.4">
      <c r="A462" s="106" t="s">
        <v>3078</v>
      </c>
      <c r="B462" s="106" t="s">
        <v>3080</v>
      </c>
    </row>
    <row r="463" spans="1:2" ht="19.5" x14ac:dyDescent="0.4">
      <c r="A463" s="106" t="s">
        <v>3082</v>
      </c>
      <c r="B463" s="106" t="s">
        <v>3081</v>
      </c>
    </row>
    <row r="464" spans="1:2" ht="19.5" x14ac:dyDescent="0.4">
      <c r="A464" s="106" t="s">
        <v>3084</v>
      </c>
      <c r="B464" s="106" t="s">
        <v>3083</v>
      </c>
    </row>
    <row r="465" spans="1:2" ht="19.5" x14ac:dyDescent="0.4">
      <c r="A465" s="106" t="s">
        <v>3086</v>
      </c>
      <c r="B465" s="106" t="s">
        <v>3085</v>
      </c>
    </row>
    <row r="466" spans="1:2" ht="19.5" x14ac:dyDescent="0.4">
      <c r="A466" s="106" t="s">
        <v>3088</v>
      </c>
      <c r="B466" s="106" t="s">
        <v>3087</v>
      </c>
    </row>
    <row r="467" spans="1:2" ht="19.5" x14ac:dyDescent="0.4">
      <c r="A467" s="106" t="s">
        <v>3090</v>
      </c>
      <c r="B467" s="106" t="s">
        <v>3089</v>
      </c>
    </row>
    <row r="468" spans="1:2" ht="19.5" x14ac:dyDescent="0.4">
      <c r="A468" s="106" t="s">
        <v>3092</v>
      </c>
      <c r="B468" s="106" t="s">
        <v>3091</v>
      </c>
    </row>
    <row r="469" spans="1:2" ht="19.5" x14ac:dyDescent="0.4">
      <c r="A469" s="106" t="s">
        <v>3094</v>
      </c>
      <c r="B469" s="106" t="s">
        <v>3093</v>
      </c>
    </row>
    <row r="470" spans="1:2" ht="19.5" x14ac:dyDescent="0.4">
      <c r="A470" s="106" t="s">
        <v>3096</v>
      </c>
      <c r="B470" s="106" t="s">
        <v>3095</v>
      </c>
    </row>
    <row r="471" spans="1:2" ht="19.5" x14ac:dyDescent="0.4">
      <c r="A471" s="106" t="s">
        <v>3098</v>
      </c>
      <c r="B471" s="106" t="s">
        <v>3097</v>
      </c>
    </row>
    <row r="472" spans="1:2" ht="19.5" x14ac:dyDescent="0.4">
      <c r="A472" s="106" t="s">
        <v>3100</v>
      </c>
      <c r="B472" s="106" t="s">
        <v>3099</v>
      </c>
    </row>
    <row r="473" spans="1:2" ht="19.5" x14ac:dyDescent="0.4">
      <c r="A473" s="106" t="s">
        <v>3102</v>
      </c>
      <c r="B473" s="106" t="s">
        <v>3101</v>
      </c>
    </row>
    <row r="474" spans="1:2" ht="19.5" x14ac:dyDescent="0.4">
      <c r="A474" s="106" t="s">
        <v>3104</v>
      </c>
      <c r="B474" s="106" t="s">
        <v>3103</v>
      </c>
    </row>
    <row r="475" spans="1:2" ht="19.5" x14ac:dyDescent="0.4">
      <c r="A475" s="106" t="s">
        <v>3106</v>
      </c>
      <c r="B475" s="106" t="s">
        <v>3105</v>
      </c>
    </row>
    <row r="476" spans="1:2" ht="19.5" x14ac:dyDescent="0.4">
      <c r="A476" s="106" t="s">
        <v>3108</v>
      </c>
      <c r="B476" s="106" t="s">
        <v>3107</v>
      </c>
    </row>
    <row r="477" spans="1:2" ht="19.5" x14ac:dyDescent="0.4">
      <c r="A477" s="106" t="s">
        <v>3110</v>
      </c>
      <c r="B477" s="106" t="s">
        <v>3109</v>
      </c>
    </row>
    <row r="478" spans="1:2" ht="19.5" x14ac:dyDescent="0.4">
      <c r="A478" s="106" t="s">
        <v>3112</v>
      </c>
      <c r="B478" s="106" t="s">
        <v>3111</v>
      </c>
    </row>
    <row r="479" spans="1:2" ht="19.5" x14ac:dyDescent="0.4">
      <c r="A479" s="106" t="s">
        <v>3114</v>
      </c>
      <c r="B479" s="106" t="s">
        <v>3113</v>
      </c>
    </row>
    <row r="480" spans="1:2" ht="19.5" x14ac:dyDescent="0.4">
      <c r="A480" s="106" t="s">
        <v>3116</v>
      </c>
      <c r="B480" s="106" t="s">
        <v>3115</v>
      </c>
    </row>
    <row r="481" spans="1:2" ht="19.5" x14ac:dyDescent="0.4">
      <c r="A481" s="106" t="s">
        <v>3118</v>
      </c>
      <c r="B481" s="106" t="s">
        <v>3117</v>
      </c>
    </row>
    <row r="482" spans="1:2" ht="19.5" x14ac:dyDescent="0.4">
      <c r="A482" s="106" t="s">
        <v>3120</v>
      </c>
      <c r="B482" s="106" t="s">
        <v>3119</v>
      </c>
    </row>
    <row r="483" spans="1:2" ht="19.5" x14ac:dyDescent="0.4">
      <c r="A483" s="106" t="s">
        <v>3122</v>
      </c>
      <c r="B483" s="106" t="s">
        <v>3121</v>
      </c>
    </row>
    <row r="484" spans="1:2" ht="19.5" x14ac:dyDescent="0.4">
      <c r="A484" s="106" t="s">
        <v>3123</v>
      </c>
      <c r="B484" s="106" t="s">
        <v>3124</v>
      </c>
    </row>
    <row r="485" spans="1:2" ht="19.5" x14ac:dyDescent="0.4">
      <c r="A485" s="106" t="s">
        <v>3126</v>
      </c>
      <c r="B485" s="106" t="s">
        <v>3125</v>
      </c>
    </row>
    <row r="486" spans="1:2" ht="19.5" x14ac:dyDescent="0.4">
      <c r="A486" s="106" t="s">
        <v>3128</v>
      </c>
      <c r="B486" s="106" t="s">
        <v>3127</v>
      </c>
    </row>
    <row r="487" spans="1:2" ht="19.5" x14ac:dyDescent="0.4">
      <c r="A487" s="106" t="s">
        <v>3130</v>
      </c>
      <c r="B487" s="106" t="s">
        <v>3129</v>
      </c>
    </row>
    <row r="488" spans="1:2" ht="19.5" x14ac:dyDescent="0.4">
      <c r="A488" s="106" t="s">
        <v>3132</v>
      </c>
      <c r="B488" s="106" t="s">
        <v>3131</v>
      </c>
    </row>
  </sheetData>
  <autoFilter ref="A1:B488" xr:uid="{DB05E277-3689-4E73-8244-4B43B83448A1}">
    <sortState xmlns:xlrd2="http://schemas.microsoft.com/office/spreadsheetml/2017/richdata2" ref="A2:B395">
      <sortCondition ref="A1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2FED-61C9-42B7-B3A0-964C10F6F5A4}">
  <dimension ref="A1:B6"/>
  <sheetViews>
    <sheetView workbookViewId="0">
      <selection activeCell="B6" sqref="B6"/>
    </sheetView>
  </sheetViews>
  <sheetFormatPr defaultRowHeight="18.75" x14ac:dyDescent="0.4"/>
  <cols>
    <col min="2" max="2" width="13" bestFit="1" customWidth="1"/>
  </cols>
  <sheetData>
    <row r="1" spans="1:2" x14ac:dyDescent="0.4">
      <c r="A1" t="s">
        <v>7</v>
      </c>
      <c r="B1" t="s">
        <v>83</v>
      </c>
    </row>
    <row r="2" spans="1:2" x14ac:dyDescent="0.4">
      <c r="A2">
        <v>1</v>
      </c>
      <c r="B2" t="s">
        <v>888</v>
      </c>
    </row>
    <row r="3" spans="1:2" x14ac:dyDescent="0.4">
      <c r="A3">
        <v>2</v>
      </c>
      <c r="B3" t="s">
        <v>887</v>
      </c>
    </row>
    <row r="4" spans="1:2" x14ac:dyDescent="0.4">
      <c r="A4">
        <v>3</v>
      </c>
      <c r="B4" t="s">
        <v>976</v>
      </c>
    </row>
    <row r="5" spans="1:2" x14ac:dyDescent="0.4">
      <c r="A5">
        <v>4</v>
      </c>
      <c r="B5" t="s">
        <v>2057</v>
      </c>
    </row>
    <row r="6" spans="1:2" x14ac:dyDescent="0.4">
      <c r="A6">
        <v>5</v>
      </c>
      <c r="B6" t="s">
        <v>2056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2710-C851-4782-AB32-D387CE77B2DD}">
  <dimension ref="A1:C29"/>
  <sheetViews>
    <sheetView topLeftCell="A7" workbookViewId="0">
      <selection activeCell="A27" sqref="A27"/>
    </sheetView>
  </sheetViews>
  <sheetFormatPr defaultRowHeight="18.75" x14ac:dyDescent="0.4"/>
  <cols>
    <col min="2" max="2" width="15.875" bestFit="1" customWidth="1"/>
  </cols>
  <sheetData>
    <row r="1" spans="1:3" x14ac:dyDescent="0.4">
      <c r="A1" t="s">
        <v>7</v>
      </c>
      <c r="B1" t="s">
        <v>53</v>
      </c>
    </row>
    <row r="2" spans="1:3" x14ac:dyDescent="0.4">
      <c r="A2" s="67" t="s">
        <v>2954</v>
      </c>
      <c r="B2" t="s">
        <v>890</v>
      </c>
    </row>
    <row r="3" spans="1:3" x14ac:dyDescent="0.4">
      <c r="A3" s="1" t="s">
        <v>892</v>
      </c>
      <c r="B3" t="s">
        <v>122</v>
      </c>
    </row>
    <row r="4" spans="1:3" x14ac:dyDescent="0.4">
      <c r="A4" s="67" t="s">
        <v>958</v>
      </c>
      <c r="B4" t="s">
        <v>957</v>
      </c>
    </row>
    <row r="5" spans="1:3" x14ac:dyDescent="0.4">
      <c r="A5">
        <v>1</v>
      </c>
      <c r="B5" t="s">
        <v>959</v>
      </c>
    </row>
    <row r="6" spans="1:3" x14ac:dyDescent="0.4">
      <c r="A6">
        <v>2</v>
      </c>
      <c r="B6" t="s">
        <v>960</v>
      </c>
    </row>
    <row r="7" spans="1:3" x14ac:dyDescent="0.4">
      <c r="A7" s="67" t="s">
        <v>961</v>
      </c>
      <c r="B7" t="s">
        <v>130</v>
      </c>
    </row>
    <row r="8" spans="1:3" x14ac:dyDescent="0.4">
      <c r="A8" s="88" t="s">
        <v>2051</v>
      </c>
      <c r="B8" t="s">
        <v>2052</v>
      </c>
    </row>
    <row r="9" spans="1:3" x14ac:dyDescent="0.4">
      <c r="A9" s="67" t="s">
        <v>2054</v>
      </c>
      <c r="B9" s="1" t="s">
        <v>2055</v>
      </c>
    </row>
    <row r="10" spans="1:3" x14ac:dyDescent="0.4">
      <c r="A10" s="67">
        <v>3</v>
      </c>
      <c r="B10" s="1" t="s">
        <v>2058</v>
      </c>
    </row>
    <row r="11" spans="1:3" x14ac:dyDescent="0.4">
      <c r="A11" s="1" t="s">
        <v>128</v>
      </c>
      <c r="B11" t="s">
        <v>129</v>
      </c>
    </row>
    <row r="12" spans="1:3" x14ac:dyDescent="0.4">
      <c r="A12" t="s">
        <v>1016</v>
      </c>
      <c r="B12" t="s">
        <v>116</v>
      </c>
    </row>
    <row r="13" spans="1:3" x14ac:dyDescent="0.4">
      <c r="A13" s="88" t="s">
        <v>2742</v>
      </c>
      <c r="B13" t="s">
        <v>2741</v>
      </c>
    </row>
    <row r="14" spans="1:3" x14ac:dyDescent="0.4">
      <c r="A14" s="88" t="s">
        <v>2933</v>
      </c>
      <c r="C14" t="s">
        <v>2934</v>
      </c>
    </row>
    <row r="15" spans="1:3" x14ac:dyDescent="0.4">
      <c r="A15" s="67" t="s">
        <v>2935</v>
      </c>
      <c r="B15" t="s">
        <v>2936</v>
      </c>
      <c r="C15" t="s">
        <v>2937</v>
      </c>
    </row>
    <row r="16" spans="1:3" x14ac:dyDescent="0.4">
      <c r="A16" s="88" t="s">
        <v>2938</v>
      </c>
      <c r="B16" t="s">
        <v>2939</v>
      </c>
    </row>
    <row r="17" spans="1:3" x14ac:dyDescent="0.4">
      <c r="A17" s="88" t="s">
        <v>2940</v>
      </c>
      <c r="B17" t="s">
        <v>2941</v>
      </c>
    </row>
    <row r="18" spans="1:3" x14ac:dyDescent="0.4">
      <c r="A18" s="88" t="s">
        <v>2942</v>
      </c>
      <c r="B18" t="s">
        <v>2943</v>
      </c>
      <c r="C18" t="s">
        <v>2953</v>
      </c>
    </row>
    <row r="19" spans="1:3" x14ac:dyDescent="0.4">
      <c r="A19" s="88" t="s">
        <v>2944</v>
      </c>
      <c r="B19" t="s">
        <v>1395</v>
      </c>
    </row>
    <row r="20" spans="1:3" x14ac:dyDescent="0.4">
      <c r="A20" s="88" t="s">
        <v>2945</v>
      </c>
      <c r="B20" t="s">
        <v>2946</v>
      </c>
    </row>
    <row r="21" spans="1:3" x14ac:dyDescent="0.4">
      <c r="A21" t="s">
        <v>118</v>
      </c>
      <c r="B21" t="s">
        <v>119</v>
      </c>
    </row>
    <row r="22" spans="1:3" x14ac:dyDescent="0.4">
      <c r="A22" s="67" t="s">
        <v>2952</v>
      </c>
      <c r="B22" t="s">
        <v>2948</v>
      </c>
    </row>
    <row r="23" spans="1:3" x14ac:dyDescent="0.4">
      <c r="A23" s="88" t="s">
        <v>2950</v>
      </c>
      <c r="B23" t="s">
        <v>127</v>
      </c>
    </row>
    <row r="24" spans="1:3" x14ac:dyDescent="0.4">
      <c r="A24" s="88" t="s">
        <v>2951</v>
      </c>
      <c r="B24" t="s">
        <v>2949</v>
      </c>
    </row>
    <row r="25" spans="1:3" x14ac:dyDescent="0.4">
      <c r="A25">
        <v>4</v>
      </c>
      <c r="B25" s="1" t="s">
        <v>2053</v>
      </c>
    </row>
    <row r="26" spans="1:3" x14ac:dyDescent="0.4">
      <c r="A26" s="67" t="s">
        <v>3141</v>
      </c>
      <c r="B26" t="s">
        <v>3133</v>
      </c>
    </row>
    <row r="27" spans="1:3" x14ac:dyDescent="0.4">
      <c r="A27" s="67" t="s">
        <v>3142</v>
      </c>
      <c r="B27" t="s">
        <v>3143</v>
      </c>
    </row>
    <row r="28" spans="1:3" x14ac:dyDescent="0.4">
      <c r="A28" s="88" t="s">
        <v>3144</v>
      </c>
      <c r="B28" t="s">
        <v>3137</v>
      </c>
    </row>
    <row r="29" spans="1:3" x14ac:dyDescent="0.4">
      <c r="A29" s="67" t="s">
        <v>3145</v>
      </c>
      <c r="B29" t="s">
        <v>2947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9BB1-D75E-4CDD-9E6F-D5D332A06294}">
  <dimension ref="A1:B32"/>
  <sheetViews>
    <sheetView workbookViewId="0">
      <selection activeCell="A5" sqref="A5"/>
    </sheetView>
  </sheetViews>
  <sheetFormatPr defaultRowHeight="18.75" x14ac:dyDescent="0.4"/>
  <sheetData>
    <row r="1" spans="1:2" x14ac:dyDescent="0.4">
      <c r="A1" t="s">
        <v>7</v>
      </c>
      <c r="B1" t="s">
        <v>51</v>
      </c>
    </row>
    <row r="2" spans="1:2" x14ac:dyDescent="0.4">
      <c r="A2" s="88" t="s">
        <v>115</v>
      </c>
      <c r="B2" t="s">
        <v>899</v>
      </c>
    </row>
    <row r="3" spans="1:2" x14ac:dyDescent="0.4">
      <c r="A3" s="88" t="s">
        <v>112</v>
      </c>
      <c r="B3" t="s">
        <v>113</v>
      </c>
    </row>
    <row r="4" spans="1:2" x14ac:dyDescent="0.4">
      <c r="A4" s="88" t="s">
        <v>114</v>
      </c>
      <c r="B4" t="s">
        <v>16</v>
      </c>
    </row>
    <row r="5" spans="1:2" x14ac:dyDescent="0.4">
      <c r="A5" s="88" t="s">
        <v>901</v>
      </c>
      <c r="B5" t="s">
        <v>121</v>
      </c>
    </row>
    <row r="6" spans="1:2" x14ac:dyDescent="0.4">
      <c r="A6" s="88" t="s">
        <v>902</v>
      </c>
      <c r="B6" t="s">
        <v>929</v>
      </c>
    </row>
    <row r="7" spans="1:2" x14ac:dyDescent="0.4">
      <c r="A7" s="88" t="s">
        <v>903</v>
      </c>
      <c r="B7" t="s">
        <v>930</v>
      </c>
    </row>
    <row r="8" spans="1:2" x14ac:dyDescent="0.4">
      <c r="A8" s="88" t="s">
        <v>904</v>
      </c>
      <c r="B8" t="s">
        <v>931</v>
      </c>
    </row>
    <row r="9" spans="1:2" x14ac:dyDescent="0.4">
      <c r="A9" s="88" t="s">
        <v>905</v>
      </c>
      <c r="B9" t="s">
        <v>932</v>
      </c>
    </row>
    <row r="10" spans="1:2" x14ac:dyDescent="0.4">
      <c r="A10" s="88" t="s">
        <v>906</v>
      </c>
      <c r="B10" t="s">
        <v>933</v>
      </c>
    </row>
    <row r="11" spans="1:2" x14ac:dyDescent="0.4">
      <c r="A11" s="88" t="s">
        <v>907</v>
      </c>
      <c r="B11" t="s">
        <v>125</v>
      </c>
    </row>
    <row r="12" spans="1:2" x14ac:dyDescent="0.4">
      <c r="A12" s="88" t="s">
        <v>908</v>
      </c>
      <c r="B12" t="s">
        <v>934</v>
      </c>
    </row>
    <row r="13" spans="1:2" x14ac:dyDescent="0.4">
      <c r="A13" s="88" t="s">
        <v>909</v>
      </c>
      <c r="B13" t="s">
        <v>935</v>
      </c>
    </row>
    <row r="14" spans="1:2" x14ac:dyDescent="0.4">
      <c r="A14" s="88" t="s">
        <v>910</v>
      </c>
      <c r="B14" t="s">
        <v>936</v>
      </c>
    </row>
    <row r="15" spans="1:2" x14ac:dyDescent="0.4">
      <c r="A15" s="88" t="s">
        <v>911</v>
      </c>
      <c r="B15" t="s">
        <v>126</v>
      </c>
    </row>
    <row r="16" spans="1:2" x14ac:dyDescent="0.4">
      <c r="A16" s="88" t="s">
        <v>912</v>
      </c>
      <c r="B16" t="s">
        <v>937</v>
      </c>
    </row>
    <row r="17" spans="1:2" x14ac:dyDescent="0.4">
      <c r="A17" s="88" t="s">
        <v>913</v>
      </c>
      <c r="B17" t="s">
        <v>938</v>
      </c>
    </row>
    <row r="18" spans="1:2" x14ac:dyDescent="0.4">
      <c r="A18" s="88" t="s">
        <v>914</v>
      </c>
    </row>
    <row r="19" spans="1:2" x14ac:dyDescent="0.4">
      <c r="A19" s="88" t="s">
        <v>915</v>
      </c>
    </row>
    <row r="20" spans="1:2" x14ac:dyDescent="0.4">
      <c r="A20" s="88" t="s">
        <v>916</v>
      </c>
      <c r="B20" t="s">
        <v>939</v>
      </c>
    </row>
    <row r="21" spans="1:2" x14ac:dyDescent="0.4">
      <c r="A21" s="88" t="s">
        <v>917</v>
      </c>
      <c r="B21" t="s">
        <v>940</v>
      </c>
    </row>
    <row r="22" spans="1:2" x14ac:dyDescent="0.4">
      <c r="A22" s="88" t="s">
        <v>918</v>
      </c>
    </row>
    <row r="23" spans="1:2" x14ac:dyDescent="0.4">
      <c r="A23" s="88" t="s">
        <v>919</v>
      </c>
      <c r="B23" t="s">
        <v>941</v>
      </c>
    </row>
    <row r="24" spans="1:2" x14ac:dyDescent="0.4">
      <c r="A24" s="88" t="s">
        <v>920</v>
      </c>
      <c r="B24" t="s">
        <v>942</v>
      </c>
    </row>
    <row r="25" spans="1:2" x14ac:dyDescent="0.4">
      <c r="A25" s="88" t="s">
        <v>921</v>
      </c>
      <c r="B25" t="s">
        <v>943</v>
      </c>
    </row>
    <row r="26" spans="1:2" x14ac:dyDescent="0.4">
      <c r="A26" s="88" t="s">
        <v>922</v>
      </c>
      <c r="B26" t="s">
        <v>944</v>
      </c>
    </row>
    <row r="27" spans="1:2" x14ac:dyDescent="0.4">
      <c r="A27" s="88" t="s">
        <v>923</v>
      </c>
      <c r="B27" t="s">
        <v>945</v>
      </c>
    </row>
    <row r="28" spans="1:2" x14ac:dyDescent="0.4">
      <c r="A28" s="88" t="s">
        <v>924</v>
      </c>
      <c r="B28" t="s">
        <v>946</v>
      </c>
    </row>
    <row r="29" spans="1:2" x14ac:dyDescent="0.4">
      <c r="A29" s="88" t="s">
        <v>925</v>
      </c>
      <c r="B29" t="s">
        <v>947</v>
      </c>
    </row>
    <row r="30" spans="1:2" x14ac:dyDescent="0.4">
      <c r="A30" s="88" t="s">
        <v>926</v>
      </c>
      <c r="B30" t="s">
        <v>948</v>
      </c>
    </row>
    <row r="31" spans="1:2" x14ac:dyDescent="0.4">
      <c r="A31" s="88" t="s">
        <v>927</v>
      </c>
      <c r="B31" t="s">
        <v>950</v>
      </c>
    </row>
    <row r="32" spans="1:2" x14ac:dyDescent="0.4">
      <c r="A32" s="88" t="s">
        <v>928</v>
      </c>
      <c r="B32" t="s">
        <v>949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E527-5A8A-4E59-9506-8B914263202A}">
  <dimension ref="A1:B588"/>
  <sheetViews>
    <sheetView topLeftCell="A106" workbookViewId="0">
      <selection sqref="A1:B1"/>
    </sheetView>
  </sheetViews>
  <sheetFormatPr defaultRowHeight="18.75" x14ac:dyDescent="0.4"/>
  <sheetData>
    <row r="1" spans="1:2" x14ac:dyDescent="0.4">
      <c r="A1" t="s">
        <v>7</v>
      </c>
      <c r="B1" t="s">
        <v>885</v>
      </c>
    </row>
    <row r="2" spans="1:2" x14ac:dyDescent="0.4">
      <c r="A2">
        <v>1</v>
      </c>
      <c r="B2" t="s">
        <v>332</v>
      </c>
    </row>
    <row r="3" spans="1:2" x14ac:dyDescent="0.4">
      <c r="A3">
        <v>2</v>
      </c>
      <c r="B3" t="s">
        <v>333</v>
      </c>
    </row>
    <row r="4" spans="1:2" x14ac:dyDescent="0.4">
      <c r="A4">
        <v>3</v>
      </c>
      <c r="B4" t="s">
        <v>334</v>
      </c>
    </row>
    <row r="5" spans="1:2" x14ac:dyDescent="0.4">
      <c r="A5">
        <v>4</v>
      </c>
      <c r="B5" t="s">
        <v>335</v>
      </c>
    </row>
    <row r="6" spans="1:2" x14ac:dyDescent="0.4">
      <c r="A6">
        <v>5</v>
      </c>
      <c r="B6" t="s">
        <v>336</v>
      </c>
    </row>
    <row r="7" spans="1:2" x14ac:dyDescent="0.4">
      <c r="A7">
        <v>6</v>
      </c>
      <c r="B7" t="s">
        <v>337</v>
      </c>
    </row>
    <row r="8" spans="1:2" x14ac:dyDescent="0.4">
      <c r="A8">
        <v>7</v>
      </c>
      <c r="B8" t="s">
        <v>338</v>
      </c>
    </row>
    <row r="9" spans="1:2" x14ac:dyDescent="0.4">
      <c r="A9">
        <v>8</v>
      </c>
      <c r="B9" t="s">
        <v>339</v>
      </c>
    </row>
    <row r="10" spans="1:2" x14ac:dyDescent="0.4">
      <c r="A10">
        <v>9</v>
      </c>
      <c r="B10" t="s">
        <v>340</v>
      </c>
    </row>
    <row r="11" spans="1:2" x14ac:dyDescent="0.4">
      <c r="A11">
        <v>10</v>
      </c>
      <c r="B11" t="s">
        <v>341</v>
      </c>
    </row>
    <row r="12" spans="1:2" x14ac:dyDescent="0.4">
      <c r="A12">
        <v>11</v>
      </c>
      <c r="B12" t="s">
        <v>342</v>
      </c>
    </row>
    <row r="13" spans="1:2" x14ac:dyDescent="0.4">
      <c r="A13">
        <v>12</v>
      </c>
      <c r="B13" t="s">
        <v>343</v>
      </c>
    </row>
    <row r="14" spans="1:2" x14ac:dyDescent="0.4">
      <c r="A14">
        <v>13</v>
      </c>
      <c r="B14" t="s">
        <v>344</v>
      </c>
    </row>
    <row r="15" spans="1:2" x14ac:dyDescent="0.4">
      <c r="A15">
        <v>14</v>
      </c>
      <c r="B15" t="s">
        <v>345</v>
      </c>
    </row>
    <row r="16" spans="1:2" x14ac:dyDescent="0.4">
      <c r="A16">
        <v>15</v>
      </c>
      <c r="B16" t="s">
        <v>346</v>
      </c>
    </row>
    <row r="17" spans="1:2" x14ac:dyDescent="0.4">
      <c r="A17">
        <v>16</v>
      </c>
      <c r="B17" t="s">
        <v>347</v>
      </c>
    </row>
    <row r="18" spans="1:2" x14ac:dyDescent="0.4">
      <c r="A18">
        <v>17</v>
      </c>
      <c r="B18" t="s">
        <v>348</v>
      </c>
    </row>
    <row r="19" spans="1:2" x14ac:dyDescent="0.4">
      <c r="A19">
        <v>18</v>
      </c>
      <c r="B19" t="s">
        <v>349</v>
      </c>
    </row>
    <row r="20" spans="1:2" x14ac:dyDescent="0.4">
      <c r="A20">
        <v>19</v>
      </c>
      <c r="B20" t="s">
        <v>350</v>
      </c>
    </row>
    <row r="21" spans="1:2" x14ac:dyDescent="0.4">
      <c r="A21">
        <v>20</v>
      </c>
      <c r="B21" t="s">
        <v>351</v>
      </c>
    </row>
    <row r="22" spans="1:2" x14ac:dyDescent="0.4">
      <c r="A22">
        <v>21</v>
      </c>
      <c r="B22" t="s">
        <v>352</v>
      </c>
    </row>
    <row r="23" spans="1:2" x14ac:dyDescent="0.4">
      <c r="A23">
        <v>22</v>
      </c>
      <c r="B23" t="s">
        <v>353</v>
      </c>
    </row>
    <row r="24" spans="1:2" x14ac:dyDescent="0.4">
      <c r="A24">
        <v>23</v>
      </c>
      <c r="B24" t="s">
        <v>354</v>
      </c>
    </row>
    <row r="25" spans="1:2" x14ac:dyDescent="0.4">
      <c r="A25">
        <v>24</v>
      </c>
      <c r="B25" t="s">
        <v>355</v>
      </c>
    </row>
    <row r="26" spans="1:2" x14ac:dyDescent="0.4">
      <c r="A26">
        <v>25</v>
      </c>
      <c r="B26" t="s">
        <v>356</v>
      </c>
    </row>
    <row r="27" spans="1:2" x14ac:dyDescent="0.4">
      <c r="A27">
        <v>26</v>
      </c>
      <c r="B27" t="s">
        <v>357</v>
      </c>
    </row>
    <row r="28" spans="1:2" x14ac:dyDescent="0.4">
      <c r="A28">
        <v>27</v>
      </c>
      <c r="B28" t="s">
        <v>358</v>
      </c>
    </row>
    <row r="29" spans="1:2" x14ac:dyDescent="0.4">
      <c r="A29">
        <v>28</v>
      </c>
      <c r="B29" t="s">
        <v>359</v>
      </c>
    </row>
    <row r="30" spans="1:2" x14ac:dyDescent="0.4">
      <c r="A30">
        <v>29</v>
      </c>
      <c r="B30" t="s">
        <v>360</v>
      </c>
    </row>
    <row r="31" spans="1:2" x14ac:dyDescent="0.4">
      <c r="A31">
        <v>30</v>
      </c>
      <c r="B31" t="s">
        <v>361</v>
      </c>
    </row>
    <row r="32" spans="1:2" x14ac:dyDescent="0.4">
      <c r="A32">
        <v>31</v>
      </c>
      <c r="B32" t="s">
        <v>362</v>
      </c>
    </row>
    <row r="33" spans="1:2" x14ac:dyDescent="0.4">
      <c r="A33">
        <v>32</v>
      </c>
      <c r="B33" t="s">
        <v>363</v>
      </c>
    </row>
    <row r="34" spans="1:2" x14ac:dyDescent="0.4">
      <c r="A34">
        <v>33</v>
      </c>
      <c r="B34" t="s">
        <v>364</v>
      </c>
    </row>
    <row r="35" spans="1:2" x14ac:dyDescent="0.4">
      <c r="A35">
        <v>34</v>
      </c>
      <c r="B35" t="s">
        <v>365</v>
      </c>
    </row>
    <row r="36" spans="1:2" x14ac:dyDescent="0.4">
      <c r="A36">
        <v>35</v>
      </c>
      <c r="B36" t="s">
        <v>366</v>
      </c>
    </row>
    <row r="37" spans="1:2" x14ac:dyDescent="0.4">
      <c r="A37">
        <v>36</v>
      </c>
      <c r="B37" t="s">
        <v>367</v>
      </c>
    </row>
    <row r="38" spans="1:2" x14ac:dyDescent="0.4">
      <c r="A38">
        <v>37</v>
      </c>
      <c r="B38" t="s">
        <v>368</v>
      </c>
    </row>
    <row r="39" spans="1:2" x14ac:dyDescent="0.4">
      <c r="A39">
        <v>38</v>
      </c>
      <c r="B39" t="s">
        <v>369</v>
      </c>
    </row>
    <row r="40" spans="1:2" x14ac:dyDescent="0.4">
      <c r="A40">
        <v>39</v>
      </c>
      <c r="B40" t="s">
        <v>370</v>
      </c>
    </row>
    <row r="41" spans="1:2" x14ac:dyDescent="0.4">
      <c r="A41">
        <v>40</v>
      </c>
      <c r="B41" t="s">
        <v>371</v>
      </c>
    </row>
    <row r="42" spans="1:2" x14ac:dyDescent="0.4">
      <c r="A42">
        <v>41</v>
      </c>
      <c r="B42" t="s">
        <v>372</v>
      </c>
    </row>
    <row r="43" spans="1:2" x14ac:dyDescent="0.4">
      <c r="A43">
        <v>42</v>
      </c>
      <c r="B43" t="s">
        <v>373</v>
      </c>
    </row>
    <row r="44" spans="1:2" x14ac:dyDescent="0.4">
      <c r="A44">
        <v>43</v>
      </c>
      <c r="B44" t="s">
        <v>374</v>
      </c>
    </row>
    <row r="45" spans="1:2" x14ac:dyDescent="0.4">
      <c r="A45">
        <v>44</v>
      </c>
      <c r="B45" t="s">
        <v>375</v>
      </c>
    </row>
    <row r="46" spans="1:2" x14ac:dyDescent="0.4">
      <c r="A46">
        <v>45</v>
      </c>
      <c r="B46" t="s">
        <v>376</v>
      </c>
    </row>
    <row r="47" spans="1:2" x14ac:dyDescent="0.4">
      <c r="A47">
        <v>46</v>
      </c>
      <c r="B47" t="s">
        <v>377</v>
      </c>
    </row>
    <row r="48" spans="1:2" x14ac:dyDescent="0.4">
      <c r="A48">
        <v>47</v>
      </c>
      <c r="B48" t="s">
        <v>378</v>
      </c>
    </row>
    <row r="49" spans="1:2" x14ac:dyDescent="0.4">
      <c r="A49">
        <v>48</v>
      </c>
      <c r="B49" t="s">
        <v>379</v>
      </c>
    </row>
    <row r="50" spans="1:2" x14ac:dyDescent="0.4">
      <c r="A50">
        <v>49</v>
      </c>
      <c r="B50" t="s">
        <v>380</v>
      </c>
    </row>
    <row r="51" spans="1:2" x14ac:dyDescent="0.4">
      <c r="A51">
        <v>50</v>
      </c>
      <c r="B51" t="s">
        <v>381</v>
      </c>
    </row>
    <row r="52" spans="1:2" x14ac:dyDescent="0.4">
      <c r="A52">
        <v>51</v>
      </c>
      <c r="B52" t="s">
        <v>382</v>
      </c>
    </row>
    <row r="53" spans="1:2" x14ac:dyDescent="0.4">
      <c r="A53">
        <v>52</v>
      </c>
      <c r="B53" t="s">
        <v>383</v>
      </c>
    </row>
    <row r="54" spans="1:2" x14ac:dyDescent="0.4">
      <c r="A54">
        <v>53</v>
      </c>
      <c r="B54" t="s">
        <v>384</v>
      </c>
    </row>
    <row r="55" spans="1:2" x14ac:dyDescent="0.4">
      <c r="A55">
        <v>54</v>
      </c>
      <c r="B55" t="s">
        <v>385</v>
      </c>
    </row>
    <row r="56" spans="1:2" x14ac:dyDescent="0.4">
      <c r="A56">
        <v>55</v>
      </c>
      <c r="B56" t="s">
        <v>386</v>
      </c>
    </row>
    <row r="57" spans="1:2" x14ac:dyDescent="0.4">
      <c r="A57">
        <v>56</v>
      </c>
      <c r="B57" t="s">
        <v>387</v>
      </c>
    </row>
    <row r="58" spans="1:2" x14ac:dyDescent="0.4">
      <c r="A58">
        <v>57</v>
      </c>
      <c r="B58" t="s">
        <v>127</v>
      </c>
    </row>
    <row r="59" spans="1:2" x14ac:dyDescent="0.4">
      <c r="A59">
        <v>58</v>
      </c>
      <c r="B59" t="s">
        <v>388</v>
      </c>
    </row>
    <row r="60" spans="1:2" x14ac:dyDescent="0.4">
      <c r="A60">
        <v>59</v>
      </c>
      <c r="B60" t="s">
        <v>389</v>
      </c>
    </row>
    <row r="61" spans="1:2" x14ac:dyDescent="0.4">
      <c r="A61">
        <v>60</v>
      </c>
      <c r="B61" t="s">
        <v>390</v>
      </c>
    </row>
    <row r="62" spans="1:2" x14ac:dyDescent="0.4">
      <c r="A62">
        <v>61</v>
      </c>
      <c r="B62" t="s">
        <v>391</v>
      </c>
    </row>
    <row r="63" spans="1:2" x14ac:dyDescent="0.4">
      <c r="A63">
        <v>62</v>
      </c>
      <c r="B63" t="s">
        <v>392</v>
      </c>
    </row>
    <row r="64" spans="1:2" x14ac:dyDescent="0.4">
      <c r="A64">
        <v>63</v>
      </c>
      <c r="B64" t="s">
        <v>393</v>
      </c>
    </row>
    <row r="65" spans="1:2" x14ac:dyDescent="0.4">
      <c r="A65">
        <v>64</v>
      </c>
      <c r="B65" s="83"/>
    </row>
    <row r="66" spans="1:2" x14ac:dyDescent="0.4">
      <c r="A66">
        <v>65</v>
      </c>
      <c r="B66" t="s">
        <v>394</v>
      </c>
    </row>
    <row r="67" spans="1:2" x14ac:dyDescent="0.4">
      <c r="A67">
        <v>66</v>
      </c>
      <c r="B67" t="s">
        <v>395</v>
      </c>
    </row>
    <row r="68" spans="1:2" x14ac:dyDescent="0.4">
      <c r="A68">
        <v>67</v>
      </c>
      <c r="B68" t="s">
        <v>396</v>
      </c>
    </row>
    <row r="69" spans="1:2" x14ac:dyDescent="0.4">
      <c r="A69">
        <v>68</v>
      </c>
      <c r="B69" t="s">
        <v>397</v>
      </c>
    </row>
    <row r="70" spans="1:2" x14ac:dyDescent="0.4">
      <c r="A70">
        <v>69</v>
      </c>
      <c r="B70" t="s">
        <v>331</v>
      </c>
    </row>
    <row r="71" spans="1:2" x14ac:dyDescent="0.4">
      <c r="A71">
        <v>70</v>
      </c>
      <c r="B71" t="s">
        <v>398</v>
      </c>
    </row>
    <row r="72" spans="1:2" x14ac:dyDescent="0.4">
      <c r="A72">
        <v>71</v>
      </c>
      <c r="B72" t="s">
        <v>399</v>
      </c>
    </row>
    <row r="73" spans="1:2" x14ac:dyDescent="0.4">
      <c r="A73">
        <v>72</v>
      </c>
      <c r="B73" t="s">
        <v>400</v>
      </c>
    </row>
    <row r="74" spans="1:2" x14ac:dyDescent="0.4">
      <c r="A74">
        <v>73</v>
      </c>
      <c r="B74" s="83"/>
    </row>
    <row r="75" spans="1:2" x14ac:dyDescent="0.4">
      <c r="A75">
        <v>74</v>
      </c>
      <c r="B75" t="s">
        <v>401</v>
      </c>
    </row>
    <row r="76" spans="1:2" x14ac:dyDescent="0.4">
      <c r="A76">
        <v>75</v>
      </c>
      <c r="B76" t="s">
        <v>402</v>
      </c>
    </row>
    <row r="77" spans="1:2" x14ac:dyDescent="0.4">
      <c r="A77">
        <v>76</v>
      </c>
      <c r="B77" t="s">
        <v>403</v>
      </c>
    </row>
    <row r="78" spans="1:2" x14ac:dyDescent="0.4">
      <c r="A78">
        <v>77</v>
      </c>
      <c r="B78" t="s">
        <v>404</v>
      </c>
    </row>
    <row r="79" spans="1:2" x14ac:dyDescent="0.4">
      <c r="A79">
        <v>78</v>
      </c>
      <c r="B79" t="s">
        <v>405</v>
      </c>
    </row>
    <row r="80" spans="1:2" x14ac:dyDescent="0.4">
      <c r="A80">
        <v>79</v>
      </c>
      <c r="B80" t="s">
        <v>406</v>
      </c>
    </row>
    <row r="81" spans="1:2" x14ac:dyDescent="0.4">
      <c r="A81">
        <v>80</v>
      </c>
      <c r="B81" t="s">
        <v>407</v>
      </c>
    </row>
    <row r="82" spans="1:2" x14ac:dyDescent="0.4">
      <c r="A82">
        <v>81</v>
      </c>
      <c r="B82" t="s">
        <v>408</v>
      </c>
    </row>
    <row r="83" spans="1:2" x14ac:dyDescent="0.4">
      <c r="A83">
        <v>82</v>
      </c>
      <c r="B83" t="s">
        <v>409</v>
      </c>
    </row>
    <row r="84" spans="1:2" x14ac:dyDescent="0.4">
      <c r="A84">
        <v>83</v>
      </c>
      <c r="B84" t="s">
        <v>410</v>
      </c>
    </row>
    <row r="85" spans="1:2" x14ac:dyDescent="0.4">
      <c r="A85">
        <v>84</v>
      </c>
      <c r="B85" t="s">
        <v>411</v>
      </c>
    </row>
    <row r="86" spans="1:2" x14ac:dyDescent="0.4">
      <c r="A86">
        <v>85</v>
      </c>
      <c r="B86" s="83"/>
    </row>
    <row r="87" spans="1:2" x14ac:dyDescent="0.4">
      <c r="A87">
        <v>86</v>
      </c>
      <c r="B87" t="s">
        <v>412</v>
      </c>
    </row>
    <row r="88" spans="1:2" x14ac:dyDescent="0.4">
      <c r="A88">
        <v>87</v>
      </c>
      <c r="B88" t="s">
        <v>413</v>
      </c>
    </row>
    <row r="89" spans="1:2" x14ac:dyDescent="0.4">
      <c r="A89">
        <v>88</v>
      </c>
      <c r="B89" t="s">
        <v>414</v>
      </c>
    </row>
    <row r="90" spans="1:2" x14ac:dyDescent="0.4">
      <c r="A90">
        <v>89</v>
      </c>
      <c r="B90" t="s">
        <v>415</v>
      </c>
    </row>
    <row r="91" spans="1:2" x14ac:dyDescent="0.4">
      <c r="A91">
        <v>90</v>
      </c>
      <c r="B91" t="s">
        <v>416</v>
      </c>
    </row>
    <row r="92" spans="1:2" x14ac:dyDescent="0.4">
      <c r="A92">
        <v>91</v>
      </c>
      <c r="B92" t="s">
        <v>417</v>
      </c>
    </row>
    <row r="93" spans="1:2" x14ac:dyDescent="0.4">
      <c r="A93">
        <v>92</v>
      </c>
      <c r="B93" t="s">
        <v>418</v>
      </c>
    </row>
    <row r="94" spans="1:2" x14ac:dyDescent="0.4">
      <c r="A94">
        <v>93</v>
      </c>
      <c r="B94" t="s">
        <v>419</v>
      </c>
    </row>
    <row r="95" spans="1:2" x14ac:dyDescent="0.4">
      <c r="A95">
        <v>94</v>
      </c>
      <c r="B95" t="s">
        <v>420</v>
      </c>
    </row>
    <row r="96" spans="1:2" x14ac:dyDescent="0.4">
      <c r="A96">
        <v>95</v>
      </c>
      <c r="B96" t="s">
        <v>421</v>
      </c>
    </row>
    <row r="97" spans="1:2" x14ac:dyDescent="0.4">
      <c r="A97">
        <v>96</v>
      </c>
      <c r="B97" t="s">
        <v>422</v>
      </c>
    </row>
    <row r="98" spans="1:2" x14ac:dyDescent="0.4">
      <c r="A98">
        <v>97</v>
      </c>
      <c r="B98" t="s">
        <v>423</v>
      </c>
    </row>
    <row r="99" spans="1:2" x14ac:dyDescent="0.4">
      <c r="A99">
        <v>98</v>
      </c>
      <c r="B99" t="s">
        <v>424</v>
      </c>
    </row>
    <row r="100" spans="1:2" x14ac:dyDescent="0.4">
      <c r="A100">
        <v>99</v>
      </c>
      <c r="B100" t="s">
        <v>425</v>
      </c>
    </row>
    <row r="101" spans="1:2" x14ac:dyDescent="0.4">
      <c r="A101">
        <v>100</v>
      </c>
      <c r="B101" t="s">
        <v>426</v>
      </c>
    </row>
    <row r="102" spans="1:2" x14ac:dyDescent="0.4">
      <c r="A102">
        <v>101</v>
      </c>
      <c r="B102" t="s">
        <v>427</v>
      </c>
    </row>
    <row r="103" spans="1:2" x14ac:dyDescent="0.4">
      <c r="A103">
        <v>102</v>
      </c>
      <c r="B103" t="s">
        <v>428</v>
      </c>
    </row>
    <row r="104" spans="1:2" x14ac:dyDescent="0.4">
      <c r="A104">
        <v>103</v>
      </c>
      <c r="B104" t="s">
        <v>429</v>
      </c>
    </row>
    <row r="105" spans="1:2" x14ac:dyDescent="0.4">
      <c r="A105">
        <v>104</v>
      </c>
      <c r="B105" s="83"/>
    </row>
    <row r="106" spans="1:2" x14ac:dyDescent="0.4">
      <c r="A106">
        <v>105</v>
      </c>
      <c r="B106" t="s">
        <v>430</v>
      </c>
    </row>
    <row r="107" spans="1:2" x14ac:dyDescent="0.4">
      <c r="A107">
        <v>106</v>
      </c>
      <c r="B107" t="s">
        <v>431</v>
      </c>
    </row>
    <row r="108" spans="1:2" x14ac:dyDescent="0.4">
      <c r="A108">
        <v>107</v>
      </c>
      <c r="B108" t="s">
        <v>432</v>
      </c>
    </row>
    <row r="109" spans="1:2" x14ac:dyDescent="0.4">
      <c r="A109">
        <v>108</v>
      </c>
      <c r="B109" t="s">
        <v>433</v>
      </c>
    </row>
    <row r="110" spans="1:2" x14ac:dyDescent="0.4">
      <c r="A110">
        <v>109</v>
      </c>
      <c r="B110" t="s">
        <v>434</v>
      </c>
    </row>
    <row r="111" spans="1:2" x14ac:dyDescent="0.4">
      <c r="A111">
        <v>110</v>
      </c>
      <c r="B111" t="s">
        <v>435</v>
      </c>
    </row>
    <row r="112" spans="1:2" x14ac:dyDescent="0.4">
      <c r="A112">
        <v>111</v>
      </c>
      <c r="B112" t="s">
        <v>436</v>
      </c>
    </row>
    <row r="113" spans="1:2" x14ac:dyDescent="0.4">
      <c r="A113">
        <v>112</v>
      </c>
      <c r="B113" t="s">
        <v>437</v>
      </c>
    </row>
    <row r="114" spans="1:2" x14ac:dyDescent="0.4">
      <c r="A114">
        <v>113</v>
      </c>
      <c r="B114" t="s">
        <v>438</v>
      </c>
    </row>
    <row r="115" spans="1:2" x14ac:dyDescent="0.4">
      <c r="A115">
        <v>114</v>
      </c>
      <c r="B115" t="s">
        <v>439</v>
      </c>
    </row>
    <row r="116" spans="1:2" x14ac:dyDescent="0.4">
      <c r="A116">
        <v>115</v>
      </c>
      <c r="B116" t="s">
        <v>440</v>
      </c>
    </row>
    <row r="117" spans="1:2" x14ac:dyDescent="0.4">
      <c r="A117">
        <v>116</v>
      </c>
      <c r="B117" t="s">
        <v>441</v>
      </c>
    </row>
    <row r="118" spans="1:2" x14ac:dyDescent="0.4">
      <c r="A118">
        <v>117</v>
      </c>
      <c r="B118" t="s">
        <v>442</v>
      </c>
    </row>
    <row r="119" spans="1:2" x14ac:dyDescent="0.4">
      <c r="A119">
        <v>118</v>
      </c>
      <c r="B119" t="s">
        <v>443</v>
      </c>
    </row>
    <row r="120" spans="1:2" x14ac:dyDescent="0.4">
      <c r="A120">
        <v>119</v>
      </c>
      <c r="B120" t="s">
        <v>444</v>
      </c>
    </row>
    <row r="121" spans="1:2" x14ac:dyDescent="0.4">
      <c r="A121">
        <v>120</v>
      </c>
      <c r="B121" t="s">
        <v>445</v>
      </c>
    </row>
    <row r="122" spans="1:2" x14ac:dyDescent="0.4">
      <c r="A122">
        <v>121</v>
      </c>
      <c r="B122" t="s">
        <v>446</v>
      </c>
    </row>
    <row r="123" spans="1:2" x14ac:dyDescent="0.4">
      <c r="A123">
        <v>122</v>
      </c>
      <c r="B123" t="s">
        <v>447</v>
      </c>
    </row>
    <row r="124" spans="1:2" x14ac:dyDescent="0.4">
      <c r="A124">
        <v>123</v>
      </c>
      <c r="B124" t="s">
        <v>448</v>
      </c>
    </row>
    <row r="125" spans="1:2" x14ac:dyDescent="0.4">
      <c r="A125">
        <v>124</v>
      </c>
      <c r="B125" t="s">
        <v>449</v>
      </c>
    </row>
    <row r="126" spans="1:2" x14ac:dyDescent="0.4">
      <c r="A126">
        <v>125</v>
      </c>
      <c r="B126" t="s">
        <v>450</v>
      </c>
    </row>
    <row r="127" spans="1:2" x14ac:dyDescent="0.4">
      <c r="A127">
        <v>126</v>
      </c>
      <c r="B127" t="s">
        <v>451</v>
      </c>
    </row>
    <row r="128" spans="1:2" x14ac:dyDescent="0.4">
      <c r="A128">
        <v>127</v>
      </c>
      <c r="B128" t="s">
        <v>452</v>
      </c>
    </row>
    <row r="129" spans="1:2" x14ac:dyDescent="0.4">
      <c r="A129">
        <v>128</v>
      </c>
      <c r="B129" t="s">
        <v>453</v>
      </c>
    </row>
    <row r="130" spans="1:2" x14ac:dyDescent="0.4">
      <c r="A130">
        <v>129</v>
      </c>
      <c r="B130" t="s">
        <v>454</v>
      </c>
    </row>
    <row r="131" spans="1:2" x14ac:dyDescent="0.4">
      <c r="A131">
        <v>130</v>
      </c>
      <c r="B131" t="s">
        <v>455</v>
      </c>
    </row>
    <row r="132" spans="1:2" x14ac:dyDescent="0.4">
      <c r="A132">
        <v>131</v>
      </c>
      <c r="B132" t="s">
        <v>456</v>
      </c>
    </row>
    <row r="133" spans="1:2" x14ac:dyDescent="0.4">
      <c r="A133">
        <v>132</v>
      </c>
      <c r="B133" t="s">
        <v>457</v>
      </c>
    </row>
    <row r="134" spans="1:2" x14ac:dyDescent="0.4">
      <c r="A134">
        <v>133</v>
      </c>
      <c r="B134" t="s">
        <v>458</v>
      </c>
    </row>
    <row r="135" spans="1:2" x14ac:dyDescent="0.4">
      <c r="A135">
        <v>134</v>
      </c>
      <c r="B135" t="s">
        <v>459</v>
      </c>
    </row>
    <row r="136" spans="1:2" x14ac:dyDescent="0.4">
      <c r="A136">
        <v>135</v>
      </c>
      <c r="B136" t="s">
        <v>460</v>
      </c>
    </row>
    <row r="137" spans="1:2" x14ac:dyDescent="0.4">
      <c r="A137">
        <v>136</v>
      </c>
      <c r="B137" t="s">
        <v>461</v>
      </c>
    </row>
    <row r="138" spans="1:2" x14ac:dyDescent="0.4">
      <c r="A138">
        <v>137</v>
      </c>
      <c r="B138" t="s">
        <v>462</v>
      </c>
    </row>
    <row r="139" spans="1:2" x14ac:dyDescent="0.4">
      <c r="A139">
        <v>138</v>
      </c>
      <c r="B139" t="s">
        <v>463</v>
      </c>
    </row>
    <row r="140" spans="1:2" x14ac:dyDescent="0.4">
      <c r="A140">
        <v>139</v>
      </c>
      <c r="B140" t="s">
        <v>464</v>
      </c>
    </row>
    <row r="141" spans="1:2" x14ac:dyDescent="0.4">
      <c r="A141">
        <v>140</v>
      </c>
      <c r="B141" t="s">
        <v>465</v>
      </c>
    </row>
    <row r="142" spans="1:2" x14ac:dyDescent="0.4">
      <c r="A142">
        <v>141</v>
      </c>
      <c r="B142" t="s">
        <v>466</v>
      </c>
    </row>
    <row r="143" spans="1:2" x14ac:dyDescent="0.4">
      <c r="A143">
        <v>142</v>
      </c>
      <c r="B143" t="s">
        <v>467</v>
      </c>
    </row>
    <row r="144" spans="1:2" x14ac:dyDescent="0.4">
      <c r="A144">
        <v>143</v>
      </c>
      <c r="B144" t="s">
        <v>468</v>
      </c>
    </row>
    <row r="145" spans="1:2" x14ac:dyDescent="0.4">
      <c r="A145">
        <v>144</v>
      </c>
      <c r="B145" t="s">
        <v>469</v>
      </c>
    </row>
    <row r="146" spans="1:2" x14ac:dyDescent="0.4">
      <c r="A146">
        <v>145</v>
      </c>
      <c r="B146" t="s">
        <v>470</v>
      </c>
    </row>
    <row r="147" spans="1:2" x14ac:dyDescent="0.4">
      <c r="A147">
        <v>146</v>
      </c>
      <c r="B147" t="s">
        <v>471</v>
      </c>
    </row>
    <row r="148" spans="1:2" x14ac:dyDescent="0.4">
      <c r="A148">
        <v>147</v>
      </c>
      <c r="B148" t="s">
        <v>472</v>
      </c>
    </row>
    <row r="149" spans="1:2" x14ac:dyDescent="0.4">
      <c r="A149">
        <v>148</v>
      </c>
      <c r="B149" t="s">
        <v>473</v>
      </c>
    </row>
    <row r="150" spans="1:2" x14ac:dyDescent="0.4">
      <c r="A150">
        <v>149</v>
      </c>
      <c r="B150" s="83"/>
    </row>
    <row r="151" spans="1:2" x14ac:dyDescent="0.4">
      <c r="A151">
        <v>150</v>
      </c>
      <c r="B151" t="s">
        <v>474</v>
      </c>
    </row>
    <row r="152" spans="1:2" x14ac:dyDescent="0.4">
      <c r="A152">
        <v>151</v>
      </c>
      <c r="B152" s="83"/>
    </row>
    <row r="153" spans="1:2" x14ac:dyDescent="0.4">
      <c r="A153">
        <v>152</v>
      </c>
      <c r="B153" t="s">
        <v>475</v>
      </c>
    </row>
    <row r="154" spans="1:2" x14ac:dyDescent="0.4">
      <c r="A154">
        <v>153</v>
      </c>
      <c r="B154" s="83"/>
    </row>
    <row r="155" spans="1:2" x14ac:dyDescent="0.4">
      <c r="A155">
        <v>154</v>
      </c>
      <c r="B155" t="s">
        <v>476</v>
      </c>
    </row>
    <row r="156" spans="1:2" x14ac:dyDescent="0.4">
      <c r="A156">
        <v>155</v>
      </c>
      <c r="B156" t="s">
        <v>477</v>
      </c>
    </row>
    <row r="157" spans="1:2" x14ac:dyDescent="0.4">
      <c r="A157">
        <v>156</v>
      </c>
      <c r="B157" t="s">
        <v>478</v>
      </c>
    </row>
    <row r="158" spans="1:2" x14ac:dyDescent="0.4">
      <c r="A158">
        <v>157</v>
      </c>
      <c r="B158" t="s">
        <v>479</v>
      </c>
    </row>
    <row r="159" spans="1:2" x14ac:dyDescent="0.4">
      <c r="A159">
        <v>158</v>
      </c>
      <c r="B159" s="83"/>
    </row>
    <row r="160" spans="1:2" x14ac:dyDescent="0.4">
      <c r="A160">
        <v>159</v>
      </c>
      <c r="B160" t="s">
        <v>480</v>
      </c>
    </row>
    <row r="161" spans="1:2" x14ac:dyDescent="0.4">
      <c r="A161">
        <v>160</v>
      </c>
      <c r="B161" t="s">
        <v>481</v>
      </c>
    </row>
    <row r="162" spans="1:2" x14ac:dyDescent="0.4">
      <c r="A162">
        <v>161</v>
      </c>
      <c r="B162" t="s">
        <v>482</v>
      </c>
    </row>
    <row r="163" spans="1:2" x14ac:dyDescent="0.4">
      <c r="A163">
        <v>162</v>
      </c>
      <c r="B163" t="s">
        <v>483</v>
      </c>
    </row>
    <row r="164" spans="1:2" x14ac:dyDescent="0.4">
      <c r="A164">
        <v>163</v>
      </c>
      <c r="B164" t="s">
        <v>484</v>
      </c>
    </row>
    <row r="165" spans="1:2" x14ac:dyDescent="0.4">
      <c r="A165">
        <v>164</v>
      </c>
      <c r="B165" t="s">
        <v>485</v>
      </c>
    </row>
    <row r="166" spans="1:2" x14ac:dyDescent="0.4">
      <c r="A166">
        <v>165</v>
      </c>
      <c r="B166" t="s">
        <v>486</v>
      </c>
    </row>
    <row r="167" spans="1:2" x14ac:dyDescent="0.4">
      <c r="A167">
        <v>166</v>
      </c>
      <c r="B167" t="s">
        <v>487</v>
      </c>
    </row>
    <row r="168" spans="1:2" x14ac:dyDescent="0.4">
      <c r="A168">
        <v>167</v>
      </c>
      <c r="B168" t="s">
        <v>117</v>
      </c>
    </row>
    <row r="169" spans="1:2" x14ac:dyDescent="0.4">
      <c r="A169">
        <v>168</v>
      </c>
      <c r="B169" t="s">
        <v>488</v>
      </c>
    </row>
    <row r="170" spans="1:2" x14ac:dyDescent="0.4">
      <c r="A170">
        <v>169</v>
      </c>
      <c r="B170" s="83"/>
    </row>
    <row r="171" spans="1:2" x14ac:dyDescent="0.4">
      <c r="A171">
        <v>170</v>
      </c>
      <c r="B171" t="s">
        <v>489</v>
      </c>
    </row>
    <row r="172" spans="1:2" x14ac:dyDescent="0.4">
      <c r="A172">
        <v>171</v>
      </c>
      <c r="B172" s="83"/>
    </row>
    <row r="173" spans="1:2" x14ac:dyDescent="0.4">
      <c r="A173">
        <v>172</v>
      </c>
      <c r="B173" t="s">
        <v>490</v>
      </c>
    </row>
    <row r="174" spans="1:2" x14ac:dyDescent="0.4">
      <c r="A174">
        <v>173</v>
      </c>
      <c r="B174" s="83"/>
    </row>
    <row r="175" spans="1:2" x14ac:dyDescent="0.4">
      <c r="A175">
        <v>174</v>
      </c>
      <c r="B175" t="s">
        <v>491</v>
      </c>
    </row>
    <row r="176" spans="1:2" x14ac:dyDescent="0.4">
      <c r="A176">
        <v>175</v>
      </c>
      <c r="B176" t="s">
        <v>492</v>
      </c>
    </row>
    <row r="177" spans="1:2" x14ac:dyDescent="0.4">
      <c r="A177">
        <v>176</v>
      </c>
      <c r="B177" t="s">
        <v>493</v>
      </c>
    </row>
    <row r="178" spans="1:2" x14ac:dyDescent="0.4">
      <c r="A178">
        <v>177</v>
      </c>
      <c r="B178" s="83"/>
    </row>
    <row r="179" spans="1:2" x14ac:dyDescent="0.4">
      <c r="A179">
        <v>178</v>
      </c>
      <c r="B179" s="83"/>
    </row>
    <row r="180" spans="1:2" x14ac:dyDescent="0.4">
      <c r="A180">
        <v>179</v>
      </c>
      <c r="B180" s="83"/>
    </row>
    <row r="181" spans="1:2" x14ac:dyDescent="0.4">
      <c r="A181">
        <v>180</v>
      </c>
      <c r="B181" t="s">
        <v>494</v>
      </c>
    </row>
    <row r="182" spans="1:2" x14ac:dyDescent="0.4">
      <c r="A182">
        <v>181</v>
      </c>
      <c r="B182" t="s">
        <v>495</v>
      </c>
    </row>
    <row r="183" spans="1:2" x14ac:dyDescent="0.4">
      <c r="A183">
        <v>182</v>
      </c>
      <c r="B183" t="s">
        <v>496</v>
      </c>
    </row>
    <row r="184" spans="1:2" x14ac:dyDescent="0.4">
      <c r="A184">
        <v>183</v>
      </c>
      <c r="B184" t="s">
        <v>497</v>
      </c>
    </row>
    <row r="185" spans="1:2" x14ac:dyDescent="0.4">
      <c r="A185">
        <v>184</v>
      </c>
      <c r="B185" t="s">
        <v>498</v>
      </c>
    </row>
    <row r="186" spans="1:2" x14ac:dyDescent="0.4">
      <c r="A186">
        <v>185</v>
      </c>
      <c r="B186" t="s">
        <v>499</v>
      </c>
    </row>
    <row r="187" spans="1:2" x14ac:dyDescent="0.4">
      <c r="A187">
        <v>186</v>
      </c>
      <c r="B187" t="s">
        <v>500</v>
      </c>
    </row>
    <row r="188" spans="1:2" x14ac:dyDescent="0.4">
      <c r="A188">
        <v>187</v>
      </c>
      <c r="B188" t="s">
        <v>501</v>
      </c>
    </row>
    <row r="189" spans="1:2" x14ac:dyDescent="0.4">
      <c r="A189">
        <v>188</v>
      </c>
      <c r="B189" t="s">
        <v>502</v>
      </c>
    </row>
    <row r="190" spans="1:2" x14ac:dyDescent="0.4">
      <c r="A190">
        <v>189</v>
      </c>
      <c r="B190" t="s">
        <v>503</v>
      </c>
    </row>
    <row r="191" spans="1:2" x14ac:dyDescent="0.4">
      <c r="A191">
        <v>190</v>
      </c>
      <c r="B191" s="83"/>
    </row>
    <row r="192" spans="1:2" x14ac:dyDescent="0.4">
      <c r="A192">
        <v>191</v>
      </c>
      <c r="B192" s="83"/>
    </row>
    <row r="193" spans="1:2" x14ac:dyDescent="0.4">
      <c r="A193">
        <v>192</v>
      </c>
      <c r="B193" t="s">
        <v>504</v>
      </c>
    </row>
    <row r="194" spans="1:2" x14ac:dyDescent="0.4">
      <c r="A194">
        <v>193</v>
      </c>
      <c r="B194" t="s">
        <v>505</v>
      </c>
    </row>
    <row r="195" spans="1:2" x14ac:dyDescent="0.4">
      <c r="A195">
        <v>194</v>
      </c>
      <c r="B195" t="s">
        <v>506</v>
      </c>
    </row>
    <row r="196" spans="1:2" x14ac:dyDescent="0.4">
      <c r="A196">
        <v>195</v>
      </c>
      <c r="B196" t="s">
        <v>507</v>
      </c>
    </row>
    <row r="197" spans="1:2" x14ac:dyDescent="0.4">
      <c r="A197">
        <v>196</v>
      </c>
      <c r="B197" t="s">
        <v>508</v>
      </c>
    </row>
    <row r="198" spans="1:2" x14ac:dyDescent="0.4">
      <c r="A198">
        <v>197</v>
      </c>
      <c r="B198" t="s">
        <v>509</v>
      </c>
    </row>
    <row r="199" spans="1:2" x14ac:dyDescent="0.4">
      <c r="A199">
        <v>198</v>
      </c>
      <c r="B199" t="s">
        <v>510</v>
      </c>
    </row>
    <row r="200" spans="1:2" x14ac:dyDescent="0.4">
      <c r="A200">
        <v>199</v>
      </c>
      <c r="B200" t="s">
        <v>511</v>
      </c>
    </row>
    <row r="201" spans="1:2" x14ac:dyDescent="0.4">
      <c r="A201">
        <v>200</v>
      </c>
      <c r="B201" t="s">
        <v>512</v>
      </c>
    </row>
    <row r="202" spans="1:2" x14ac:dyDescent="0.4">
      <c r="A202">
        <v>201</v>
      </c>
      <c r="B202" t="s">
        <v>513</v>
      </c>
    </row>
    <row r="203" spans="1:2" x14ac:dyDescent="0.4">
      <c r="A203">
        <v>202</v>
      </c>
      <c r="B203" t="s">
        <v>514</v>
      </c>
    </row>
    <row r="204" spans="1:2" x14ac:dyDescent="0.4">
      <c r="A204">
        <v>203</v>
      </c>
      <c r="B204" t="s">
        <v>515</v>
      </c>
    </row>
    <row r="205" spans="1:2" x14ac:dyDescent="0.4">
      <c r="A205">
        <v>204</v>
      </c>
      <c r="B205" t="s">
        <v>516</v>
      </c>
    </row>
    <row r="206" spans="1:2" x14ac:dyDescent="0.4">
      <c r="A206">
        <v>205</v>
      </c>
      <c r="B206" t="s">
        <v>517</v>
      </c>
    </row>
    <row r="207" spans="1:2" x14ac:dyDescent="0.4">
      <c r="A207">
        <v>206</v>
      </c>
      <c r="B207" t="s">
        <v>518</v>
      </c>
    </row>
    <row r="208" spans="1:2" x14ac:dyDescent="0.4">
      <c r="A208">
        <v>207</v>
      </c>
      <c r="B208" t="s">
        <v>519</v>
      </c>
    </row>
    <row r="209" spans="1:2" x14ac:dyDescent="0.4">
      <c r="A209">
        <v>208</v>
      </c>
      <c r="B209" t="s">
        <v>520</v>
      </c>
    </row>
    <row r="210" spans="1:2" x14ac:dyDescent="0.4">
      <c r="A210">
        <v>209</v>
      </c>
      <c r="B210" t="s">
        <v>521</v>
      </c>
    </row>
    <row r="211" spans="1:2" x14ac:dyDescent="0.4">
      <c r="A211">
        <v>210</v>
      </c>
      <c r="B211" t="s">
        <v>522</v>
      </c>
    </row>
    <row r="212" spans="1:2" x14ac:dyDescent="0.4">
      <c r="A212">
        <v>211</v>
      </c>
      <c r="B212" t="s">
        <v>523</v>
      </c>
    </row>
    <row r="213" spans="1:2" x14ac:dyDescent="0.4">
      <c r="A213">
        <v>212</v>
      </c>
      <c r="B213" t="s">
        <v>524</v>
      </c>
    </row>
    <row r="214" spans="1:2" x14ac:dyDescent="0.4">
      <c r="A214">
        <v>213</v>
      </c>
      <c r="B214" t="s">
        <v>525</v>
      </c>
    </row>
    <row r="215" spans="1:2" x14ac:dyDescent="0.4">
      <c r="A215">
        <v>214</v>
      </c>
      <c r="B215" t="s">
        <v>526</v>
      </c>
    </row>
    <row r="216" spans="1:2" x14ac:dyDescent="0.4">
      <c r="A216">
        <v>215</v>
      </c>
      <c r="B216" t="s">
        <v>527</v>
      </c>
    </row>
    <row r="217" spans="1:2" x14ac:dyDescent="0.4">
      <c r="A217">
        <v>216</v>
      </c>
      <c r="B217" t="s">
        <v>528</v>
      </c>
    </row>
    <row r="218" spans="1:2" x14ac:dyDescent="0.4">
      <c r="A218">
        <v>217</v>
      </c>
      <c r="B218" t="s">
        <v>529</v>
      </c>
    </row>
    <row r="219" spans="1:2" x14ac:dyDescent="0.4">
      <c r="A219">
        <v>218</v>
      </c>
      <c r="B219" t="s">
        <v>530</v>
      </c>
    </row>
    <row r="220" spans="1:2" x14ac:dyDescent="0.4">
      <c r="A220">
        <v>219</v>
      </c>
      <c r="B220" t="s">
        <v>531</v>
      </c>
    </row>
    <row r="221" spans="1:2" x14ac:dyDescent="0.4">
      <c r="A221">
        <v>220</v>
      </c>
      <c r="B221" t="s">
        <v>532</v>
      </c>
    </row>
    <row r="222" spans="1:2" x14ac:dyDescent="0.4">
      <c r="A222">
        <v>221</v>
      </c>
      <c r="B222" t="s">
        <v>533</v>
      </c>
    </row>
    <row r="223" spans="1:2" x14ac:dyDescent="0.4">
      <c r="A223">
        <v>222</v>
      </c>
      <c r="B223" t="s">
        <v>534</v>
      </c>
    </row>
    <row r="224" spans="1:2" x14ac:dyDescent="0.4">
      <c r="A224">
        <v>223</v>
      </c>
      <c r="B224" t="s">
        <v>535</v>
      </c>
    </row>
    <row r="225" spans="1:2" x14ac:dyDescent="0.4">
      <c r="A225">
        <v>224</v>
      </c>
      <c r="B225" t="s">
        <v>536</v>
      </c>
    </row>
    <row r="226" spans="1:2" x14ac:dyDescent="0.4">
      <c r="A226">
        <v>225</v>
      </c>
      <c r="B226" t="s">
        <v>537</v>
      </c>
    </row>
    <row r="227" spans="1:2" x14ac:dyDescent="0.4">
      <c r="A227">
        <v>226</v>
      </c>
      <c r="B227" s="83"/>
    </row>
    <row r="228" spans="1:2" x14ac:dyDescent="0.4">
      <c r="A228">
        <v>227</v>
      </c>
      <c r="B228" s="83"/>
    </row>
    <row r="229" spans="1:2" x14ac:dyDescent="0.4">
      <c r="A229">
        <v>228</v>
      </c>
      <c r="B229" s="83"/>
    </row>
    <row r="230" spans="1:2" x14ac:dyDescent="0.4">
      <c r="A230">
        <v>229</v>
      </c>
      <c r="B230" s="83"/>
    </row>
    <row r="231" spans="1:2" x14ac:dyDescent="0.4">
      <c r="A231">
        <v>230</v>
      </c>
      <c r="B231" s="83"/>
    </row>
    <row r="232" spans="1:2" x14ac:dyDescent="0.4">
      <c r="A232">
        <v>231</v>
      </c>
      <c r="B232" s="83"/>
    </row>
    <row r="233" spans="1:2" x14ac:dyDescent="0.4">
      <c r="A233">
        <v>232</v>
      </c>
      <c r="B233" s="83"/>
    </row>
    <row r="234" spans="1:2" x14ac:dyDescent="0.4">
      <c r="A234">
        <v>233</v>
      </c>
      <c r="B234" s="83"/>
    </row>
    <row r="235" spans="1:2" x14ac:dyDescent="0.4">
      <c r="A235">
        <v>234</v>
      </c>
      <c r="B235" s="83"/>
    </row>
    <row r="236" spans="1:2" x14ac:dyDescent="0.4">
      <c r="A236">
        <v>235</v>
      </c>
      <c r="B236" s="83"/>
    </row>
    <row r="237" spans="1:2" x14ac:dyDescent="0.4">
      <c r="A237">
        <v>236</v>
      </c>
      <c r="B237" s="83"/>
    </row>
    <row r="238" spans="1:2" x14ac:dyDescent="0.4">
      <c r="A238">
        <v>237</v>
      </c>
      <c r="B238" t="s">
        <v>538</v>
      </c>
    </row>
    <row r="239" spans="1:2" x14ac:dyDescent="0.4">
      <c r="A239">
        <v>238</v>
      </c>
      <c r="B239" t="s">
        <v>539</v>
      </c>
    </row>
    <row r="240" spans="1:2" x14ac:dyDescent="0.4">
      <c r="A240">
        <v>239</v>
      </c>
      <c r="B240" t="s">
        <v>540</v>
      </c>
    </row>
    <row r="241" spans="1:2" x14ac:dyDescent="0.4">
      <c r="A241">
        <v>240</v>
      </c>
      <c r="B241" t="s">
        <v>541</v>
      </c>
    </row>
    <row r="242" spans="1:2" x14ac:dyDescent="0.4">
      <c r="A242">
        <v>241</v>
      </c>
      <c r="B242" t="s">
        <v>542</v>
      </c>
    </row>
    <row r="243" spans="1:2" x14ac:dyDescent="0.4">
      <c r="A243">
        <v>242</v>
      </c>
      <c r="B243" t="s">
        <v>543</v>
      </c>
    </row>
    <row r="244" spans="1:2" x14ac:dyDescent="0.4">
      <c r="A244">
        <v>243</v>
      </c>
      <c r="B244" t="s">
        <v>544</v>
      </c>
    </row>
    <row r="245" spans="1:2" x14ac:dyDescent="0.4">
      <c r="A245">
        <v>244</v>
      </c>
      <c r="B245" s="83"/>
    </row>
    <row r="246" spans="1:2" x14ac:dyDescent="0.4">
      <c r="A246">
        <v>245</v>
      </c>
      <c r="B246" t="s">
        <v>545</v>
      </c>
    </row>
    <row r="247" spans="1:2" x14ac:dyDescent="0.4">
      <c r="A247">
        <v>246</v>
      </c>
      <c r="B247" t="s">
        <v>546</v>
      </c>
    </row>
    <row r="248" spans="1:2" x14ac:dyDescent="0.4">
      <c r="A248">
        <v>247</v>
      </c>
      <c r="B248" t="s">
        <v>547</v>
      </c>
    </row>
    <row r="249" spans="1:2" x14ac:dyDescent="0.4">
      <c r="A249">
        <v>248</v>
      </c>
      <c r="B249" t="s">
        <v>548</v>
      </c>
    </row>
    <row r="250" spans="1:2" x14ac:dyDescent="0.4">
      <c r="A250">
        <v>249</v>
      </c>
      <c r="B250" t="s">
        <v>549</v>
      </c>
    </row>
    <row r="251" spans="1:2" x14ac:dyDescent="0.4">
      <c r="A251">
        <v>250</v>
      </c>
      <c r="B251" t="s">
        <v>550</v>
      </c>
    </row>
    <row r="252" spans="1:2" x14ac:dyDescent="0.4">
      <c r="A252">
        <v>251</v>
      </c>
      <c r="B252" t="s">
        <v>551</v>
      </c>
    </row>
    <row r="253" spans="1:2" x14ac:dyDescent="0.4">
      <c r="A253">
        <v>252</v>
      </c>
      <c r="B253" t="s">
        <v>552</v>
      </c>
    </row>
    <row r="254" spans="1:2" x14ac:dyDescent="0.4">
      <c r="A254">
        <v>253</v>
      </c>
      <c r="B254" t="s">
        <v>553</v>
      </c>
    </row>
    <row r="255" spans="1:2" x14ac:dyDescent="0.4">
      <c r="A255">
        <v>254</v>
      </c>
      <c r="B255" t="s">
        <v>554</v>
      </c>
    </row>
    <row r="256" spans="1:2" x14ac:dyDescent="0.4">
      <c r="A256">
        <v>255</v>
      </c>
      <c r="B256" t="s">
        <v>555</v>
      </c>
    </row>
    <row r="257" spans="1:2" x14ac:dyDescent="0.4">
      <c r="A257">
        <v>256</v>
      </c>
      <c r="B257" t="s">
        <v>556</v>
      </c>
    </row>
    <row r="258" spans="1:2" x14ac:dyDescent="0.4">
      <c r="A258">
        <v>257</v>
      </c>
      <c r="B258" t="s">
        <v>557</v>
      </c>
    </row>
    <row r="259" spans="1:2" x14ac:dyDescent="0.4">
      <c r="A259">
        <v>258</v>
      </c>
      <c r="B259" t="s">
        <v>558</v>
      </c>
    </row>
    <row r="260" spans="1:2" x14ac:dyDescent="0.4">
      <c r="A260">
        <v>259</v>
      </c>
      <c r="B260" s="83"/>
    </row>
    <row r="261" spans="1:2" x14ac:dyDescent="0.4">
      <c r="A261">
        <v>260</v>
      </c>
      <c r="B261" t="s">
        <v>559</v>
      </c>
    </row>
    <row r="262" spans="1:2" x14ac:dyDescent="0.4">
      <c r="A262">
        <v>261</v>
      </c>
      <c r="B262" t="s">
        <v>560</v>
      </c>
    </row>
    <row r="263" spans="1:2" x14ac:dyDescent="0.4">
      <c r="A263">
        <v>262</v>
      </c>
      <c r="B263" t="s">
        <v>561</v>
      </c>
    </row>
    <row r="264" spans="1:2" x14ac:dyDescent="0.4">
      <c r="A264">
        <v>263</v>
      </c>
      <c r="B264" t="s">
        <v>562</v>
      </c>
    </row>
    <row r="265" spans="1:2" x14ac:dyDescent="0.4">
      <c r="A265">
        <v>264</v>
      </c>
      <c r="B265" t="s">
        <v>563</v>
      </c>
    </row>
    <row r="266" spans="1:2" x14ac:dyDescent="0.4">
      <c r="A266">
        <v>265</v>
      </c>
      <c r="B266" t="s">
        <v>564</v>
      </c>
    </row>
    <row r="267" spans="1:2" x14ac:dyDescent="0.4">
      <c r="A267">
        <v>266</v>
      </c>
      <c r="B267" t="s">
        <v>565</v>
      </c>
    </row>
    <row r="268" spans="1:2" x14ac:dyDescent="0.4">
      <c r="A268">
        <v>267</v>
      </c>
      <c r="B268" t="s">
        <v>566</v>
      </c>
    </row>
    <row r="269" spans="1:2" x14ac:dyDescent="0.4">
      <c r="A269">
        <v>268</v>
      </c>
      <c r="B269" t="s">
        <v>567</v>
      </c>
    </row>
    <row r="270" spans="1:2" x14ac:dyDescent="0.4">
      <c r="A270">
        <v>269</v>
      </c>
      <c r="B270" t="s">
        <v>568</v>
      </c>
    </row>
    <row r="271" spans="1:2" x14ac:dyDescent="0.4">
      <c r="A271">
        <v>270</v>
      </c>
      <c r="B271" t="s">
        <v>569</v>
      </c>
    </row>
    <row r="272" spans="1:2" x14ac:dyDescent="0.4">
      <c r="A272">
        <v>271</v>
      </c>
      <c r="B272" t="s">
        <v>570</v>
      </c>
    </row>
    <row r="273" spans="1:2" x14ac:dyDescent="0.4">
      <c r="A273">
        <v>272</v>
      </c>
      <c r="B273" t="s">
        <v>571</v>
      </c>
    </row>
    <row r="274" spans="1:2" x14ac:dyDescent="0.4">
      <c r="A274">
        <v>273</v>
      </c>
      <c r="B274" t="s">
        <v>572</v>
      </c>
    </row>
    <row r="275" spans="1:2" x14ac:dyDescent="0.4">
      <c r="A275">
        <v>274</v>
      </c>
      <c r="B275" t="s">
        <v>573</v>
      </c>
    </row>
    <row r="276" spans="1:2" x14ac:dyDescent="0.4">
      <c r="A276">
        <v>275</v>
      </c>
      <c r="B276" t="s">
        <v>574</v>
      </c>
    </row>
    <row r="277" spans="1:2" x14ac:dyDescent="0.4">
      <c r="A277">
        <v>276</v>
      </c>
      <c r="B277" t="s">
        <v>575</v>
      </c>
    </row>
    <row r="278" spans="1:2" x14ac:dyDescent="0.4">
      <c r="A278">
        <v>277</v>
      </c>
      <c r="B278" t="s">
        <v>576</v>
      </c>
    </row>
    <row r="279" spans="1:2" x14ac:dyDescent="0.4">
      <c r="A279">
        <v>278</v>
      </c>
      <c r="B279" t="s">
        <v>577</v>
      </c>
    </row>
    <row r="280" spans="1:2" x14ac:dyDescent="0.4">
      <c r="A280">
        <v>279</v>
      </c>
      <c r="B280" t="s">
        <v>578</v>
      </c>
    </row>
    <row r="281" spans="1:2" x14ac:dyDescent="0.4">
      <c r="A281">
        <v>280</v>
      </c>
      <c r="B281" t="s">
        <v>579</v>
      </c>
    </row>
    <row r="282" spans="1:2" x14ac:dyDescent="0.4">
      <c r="A282">
        <v>281</v>
      </c>
      <c r="B282" t="s">
        <v>580</v>
      </c>
    </row>
    <row r="283" spans="1:2" x14ac:dyDescent="0.4">
      <c r="A283">
        <v>282</v>
      </c>
      <c r="B283" t="s">
        <v>581</v>
      </c>
    </row>
    <row r="284" spans="1:2" x14ac:dyDescent="0.4">
      <c r="A284">
        <v>283</v>
      </c>
      <c r="B284" t="s">
        <v>582</v>
      </c>
    </row>
    <row r="285" spans="1:2" x14ac:dyDescent="0.4">
      <c r="A285">
        <v>284</v>
      </c>
      <c r="B285" t="s">
        <v>583</v>
      </c>
    </row>
    <row r="286" spans="1:2" x14ac:dyDescent="0.4">
      <c r="A286">
        <v>285</v>
      </c>
      <c r="B286" t="s">
        <v>584</v>
      </c>
    </row>
    <row r="287" spans="1:2" x14ac:dyDescent="0.4">
      <c r="A287">
        <v>286</v>
      </c>
      <c r="B287" t="s">
        <v>585</v>
      </c>
    </row>
    <row r="288" spans="1:2" x14ac:dyDescent="0.4">
      <c r="A288">
        <v>287</v>
      </c>
      <c r="B288" t="s">
        <v>586</v>
      </c>
    </row>
    <row r="289" spans="1:2" x14ac:dyDescent="0.4">
      <c r="A289">
        <v>288</v>
      </c>
      <c r="B289" t="s">
        <v>587</v>
      </c>
    </row>
    <row r="290" spans="1:2" x14ac:dyDescent="0.4">
      <c r="A290">
        <v>289</v>
      </c>
      <c r="B290" t="s">
        <v>588</v>
      </c>
    </row>
    <row r="291" spans="1:2" x14ac:dyDescent="0.4">
      <c r="A291">
        <v>290</v>
      </c>
      <c r="B291" t="s">
        <v>589</v>
      </c>
    </row>
    <row r="292" spans="1:2" x14ac:dyDescent="0.4">
      <c r="A292">
        <v>291</v>
      </c>
      <c r="B292" t="s">
        <v>590</v>
      </c>
    </row>
    <row r="293" spans="1:2" x14ac:dyDescent="0.4">
      <c r="A293">
        <v>292</v>
      </c>
      <c r="B293" t="s">
        <v>591</v>
      </c>
    </row>
    <row r="294" spans="1:2" x14ac:dyDescent="0.4">
      <c r="A294">
        <v>293</v>
      </c>
      <c r="B294" t="s">
        <v>592</v>
      </c>
    </row>
    <row r="295" spans="1:2" x14ac:dyDescent="0.4">
      <c r="A295">
        <v>294</v>
      </c>
      <c r="B295" t="s">
        <v>593</v>
      </c>
    </row>
    <row r="296" spans="1:2" x14ac:dyDescent="0.4">
      <c r="A296">
        <v>295</v>
      </c>
      <c r="B296" t="s">
        <v>594</v>
      </c>
    </row>
    <row r="297" spans="1:2" x14ac:dyDescent="0.4">
      <c r="A297">
        <v>296</v>
      </c>
      <c r="B297" t="s">
        <v>595</v>
      </c>
    </row>
    <row r="298" spans="1:2" x14ac:dyDescent="0.4">
      <c r="A298">
        <v>297</v>
      </c>
      <c r="B298" t="s">
        <v>596</v>
      </c>
    </row>
    <row r="299" spans="1:2" x14ac:dyDescent="0.4">
      <c r="A299">
        <v>298</v>
      </c>
      <c r="B299" t="s">
        <v>597</v>
      </c>
    </row>
    <row r="300" spans="1:2" x14ac:dyDescent="0.4">
      <c r="A300">
        <v>299</v>
      </c>
      <c r="B300" t="s">
        <v>598</v>
      </c>
    </row>
    <row r="301" spans="1:2" x14ac:dyDescent="0.4">
      <c r="A301">
        <v>300</v>
      </c>
      <c r="B301" t="s">
        <v>599</v>
      </c>
    </row>
    <row r="302" spans="1:2" x14ac:dyDescent="0.4">
      <c r="A302">
        <v>301</v>
      </c>
      <c r="B302" t="s">
        <v>600</v>
      </c>
    </row>
    <row r="303" spans="1:2" x14ac:dyDescent="0.4">
      <c r="A303">
        <v>302</v>
      </c>
      <c r="B303" t="s">
        <v>601</v>
      </c>
    </row>
    <row r="304" spans="1:2" x14ac:dyDescent="0.4">
      <c r="A304">
        <v>303</v>
      </c>
      <c r="B304" t="s">
        <v>602</v>
      </c>
    </row>
    <row r="305" spans="1:2" x14ac:dyDescent="0.4">
      <c r="A305">
        <v>304</v>
      </c>
      <c r="B305" t="s">
        <v>603</v>
      </c>
    </row>
    <row r="306" spans="1:2" x14ac:dyDescent="0.4">
      <c r="A306">
        <v>305</v>
      </c>
      <c r="B306" t="s">
        <v>604</v>
      </c>
    </row>
    <row r="307" spans="1:2" x14ac:dyDescent="0.4">
      <c r="A307">
        <v>306</v>
      </c>
      <c r="B307" t="s">
        <v>605</v>
      </c>
    </row>
    <row r="308" spans="1:2" x14ac:dyDescent="0.4">
      <c r="A308">
        <v>307</v>
      </c>
      <c r="B308" t="s">
        <v>606</v>
      </c>
    </row>
    <row r="309" spans="1:2" x14ac:dyDescent="0.4">
      <c r="A309">
        <v>308</v>
      </c>
      <c r="B309" t="s">
        <v>607</v>
      </c>
    </row>
    <row r="310" spans="1:2" x14ac:dyDescent="0.4">
      <c r="A310">
        <v>309</v>
      </c>
      <c r="B310" t="s">
        <v>608</v>
      </c>
    </row>
    <row r="311" spans="1:2" x14ac:dyDescent="0.4">
      <c r="A311">
        <v>310</v>
      </c>
      <c r="B311" t="s">
        <v>609</v>
      </c>
    </row>
    <row r="312" spans="1:2" x14ac:dyDescent="0.4">
      <c r="A312">
        <v>311</v>
      </c>
      <c r="B312" t="s">
        <v>610</v>
      </c>
    </row>
    <row r="313" spans="1:2" x14ac:dyDescent="0.4">
      <c r="A313">
        <v>312</v>
      </c>
      <c r="B313" t="s">
        <v>611</v>
      </c>
    </row>
    <row r="314" spans="1:2" x14ac:dyDescent="0.4">
      <c r="A314">
        <v>313</v>
      </c>
      <c r="B314" t="s">
        <v>612</v>
      </c>
    </row>
    <row r="315" spans="1:2" x14ac:dyDescent="0.4">
      <c r="A315">
        <v>314</v>
      </c>
      <c r="B315" t="s">
        <v>613</v>
      </c>
    </row>
    <row r="316" spans="1:2" x14ac:dyDescent="0.4">
      <c r="A316">
        <v>315</v>
      </c>
      <c r="B316" t="s">
        <v>614</v>
      </c>
    </row>
    <row r="317" spans="1:2" x14ac:dyDescent="0.4">
      <c r="A317">
        <v>316</v>
      </c>
      <c r="B317" t="s">
        <v>615</v>
      </c>
    </row>
    <row r="318" spans="1:2" x14ac:dyDescent="0.4">
      <c r="A318">
        <v>317</v>
      </c>
      <c r="B318" t="s">
        <v>616</v>
      </c>
    </row>
    <row r="319" spans="1:2" x14ac:dyDescent="0.4">
      <c r="A319">
        <v>318</v>
      </c>
      <c r="B319" t="s">
        <v>617</v>
      </c>
    </row>
    <row r="320" spans="1:2" x14ac:dyDescent="0.4">
      <c r="A320">
        <v>319</v>
      </c>
      <c r="B320" t="s">
        <v>618</v>
      </c>
    </row>
    <row r="321" spans="1:2" x14ac:dyDescent="0.4">
      <c r="A321">
        <v>320</v>
      </c>
      <c r="B321" t="s">
        <v>619</v>
      </c>
    </row>
    <row r="322" spans="1:2" x14ac:dyDescent="0.4">
      <c r="A322">
        <v>321</v>
      </c>
      <c r="B322" t="s">
        <v>620</v>
      </c>
    </row>
    <row r="323" spans="1:2" x14ac:dyDescent="0.4">
      <c r="A323">
        <v>322</v>
      </c>
      <c r="B323" t="s">
        <v>621</v>
      </c>
    </row>
    <row r="324" spans="1:2" x14ac:dyDescent="0.4">
      <c r="A324">
        <v>323</v>
      </c>
      <c r="B324" t="s">
        <v>622</v>
      </c>
    </row>
    <row r="325" spans="1:2" x14ac:dyDescent="0.4">
      <c r="A325">
        <v>324</v>
      </c>
      <c r="B325" t="s">
        <v>623</v>
      </c>
    </row>
    <row r="326" spans="1:2" x14ac:dyDescent="0.4">
      <c r="A326">
        <v>325</v>
      </c>
      <c r="B326" t="s">
        <v>624</v>
      </c>
    </row>
    <row r="327" spans="1:2" x14ac:dyDescent="0.4">
      <c r="A327">
        <v>326</v>
      </c>
      <c r="B327" t="s">
        <v>625</v>
      </c>
    </row>
    <row r="328" spans="1:2" x14ac:dyDescent="0.4">
      <c r="A328">
        <v>327</v>
      </c>
      <c r="B328" t="s">
        <v>626</v>
      </c>
    </row>
    <row r="329" spans="1:2" x14ac:dyDescent="0.4">
      <c r="A329">
        <v>328</v>
      </c>
      <c r="B329" t="s">
        <v>627</v>
      </c>
    </row>
    <row r="330" spans="1:2" x14ac:dyDescent="0.4">
      <c r="A330">
        <v>329</v>
      </c>
      <c r="B330" t="s">
        <v>628</v>
      </c>
    </row>
    <row r="331" spans="1:2" x14ac:dyDescent="0.4">
      <c r="A331">
        <v>330</v>
      </c>
      <c r="B331" t="s">
        <v>629</v>
      </c>
    </row>
    <row r="332" spans="1:2" x14ac:dyDescent="0.4">
      <c r="A332">
        <v>331</v>
      </c>
      <c r="B332" t="s">
        <v>630</v>
      </c>
    </row>
    <row r="333" spans="1:2" x14ac:dyDescent="0.4">
      <c r="A333">
        <v>332</v>
      </c>
      <c r="B333" t="s">
        <v>631</v>
      </c>
    </row>
    <row r="334" spans="1:2" x14ac:dyDescent="0.4">
      <c r="A334">
        <v>333</v>
      </c>
      <c r="B334" t="s">
        <v>632</v>
      </c>
    </row>
    <row r="335" spans="1:2" x14ac:dyDescent="0.4">
      <c r="A335">
        <v>334</v>
      </c>
      <c r="B335" t="s">
        <v>633</v>
      </c>
    </row>
    <row r="336" spans="1:2" x14ac:dyDescent="0.4">
      <c r="A336">
        <v>335</v>
      </c>
      <c r="B336" t="s">
        <v>634</v>
      </c>
    </row>
    <row r="337" spans="1:2" x14ac:dyDescent="0.4">
      <c r="A337">
        <v>336</v>
      </c>
      <c r="B337" t="s">
        <v>635</v>
      </c>
    </row>
    <row r="338" spans="1:2" x14ac:dyDescent="0.4">
      <c r="A338">
        <v>337</v>
      </c>
      <c r="B338" t="s">
        <v>636</v>
      </c>
    </row>
    <row r="339" spans="1:2" x14ac:dyDescent="0.4">
      <c r="A339">
        <v>338</v>
      </c>
      <c r="B339" t="s">
        <v>637</v>
      </c>
    </row>
    <row r="340" spans="1:2" x14ac:dyDescent="0.4">
      <c r="A340">
        <v>339</v>
      </c>
      <c r="B340" t="s">
        <v>638</v>
      </c>
    </row>
    <row r="341" spans="1:2" x14ac:dyDescent="0.4">
      <c r="A341">
        <v>340</v>
      </c>
      <c r="B341" t="s">
        <v>639</v>
      </c>
    </row>
    <row r="342" spans="1:2" x14ac:dyDescent="0.4">
      <c r="A342">
        <v>341</v>
      </c>
      <c r="B342" t="s">
        <v>640</v>
      </c>
    </row>
    <row r="343" spans="1:2" x14ac:dyDescent="0.4">
      <c r="A343">
        <v>342</v>
      </c>
      <c r="B343" t="s">
        <v>641</v>
      </c>
    </row>
    <row r="344" spans="1:2" x14ac:dyDescent="0.4">
      <c r="A344">
        <v>343</v>
      </c>
      <c r="B344" t="s">
        <v>642</v>
      </c>
    </row>
    <row r="345" spans="1:2" x14ac:dyDescent="0.4">
      <c r="A345">
        <v>344</v>
      </c>
      <c r="B345" t="s">
        <v>643</v>
      </c>
    </row>
    <row r="346" spans="1:2" x14ac:dyDescent="0.4">
      <c r="A346">
        <v>345</v>
      </c>
      <c r="B346" t="s">
        <v>644</v>
      </c>
    </row>
    <row r="347" spans="1:2" x14ac:dyDescent="0.4">
      <c r="A347">
        <v>346</v>
      </c>
      <c r="B347" t="s">
        <v>645</v>
      </c>
    </row>
    <row r="348" spans="1:2" x14ac:dyDescent="0.4">
      <c r="A348">
        <v>347</v>
      </c>
      <c r="B348" t="s">
        <v>646</v>
      </c>
    </row>
    <row r="349" spans="1:2" x14ac:dyDescent="0.4">
      <c r="A349">
        <v>348</v>
      </c>
      <c r="B349" t="s">
        <v>647</v>
      </c>
    </row>
    <row r="350" spans="1:2" x14ac:dyDescent="0.4">
      <c r="A350">
        <v>349</v>
      </c>
      <c r="B350" t="s">
        <v>648</v>
      </c>
    </row>
    <row r="351" spans="1:2" x14ac:dyDescent="0.4">
      <c r="A351">
        <v>350</v>
      </c>
      <c r="B351" t="s">
        <v>649</v>
      </c>
    </row>
    <row r="352" spans="1:2" x14ac:dyDescent="0.4">
      <c r="A352">
        <v>351</v>
      </c>
      <c r="B352" t="s">
        <v>650</v>
      </c>
    </row>
    <row r="353" spans="1:2" x14ac:dyDescent="0.4">
      <c r="A353">
        <v>352</v>
      </c>
      <c r="B353" t="s">
        <v>651</v>
      </c>
    </row>
    <row r="354" spans="1:2" x14ac:dyDescent="0.4">
      <c r="A354">
        <v>353</v>
      </c>
      <c r="B354" t="s">
        <v>652</v>
      </c>
    </row>
    <row r="355" spans="1:2" x14ac:dyDescent="0.4">
      <c r="A355">
        <v>354</v>
      </c>
      <c r="B355" t="s">
        <v>653</v>
      </c>
    </row>
    <row r="356" spans="1:2" x14ac:dyDescent="0.4">
      <c r="A356">
        <v>355</v>
      </c>
      <c r="B356" t="s">
        <v>654</v>
      </c>
    </row>
    <row r="357" spans="1:2" x14ac:dyDescent="0.4">
      <c r="A357">
        <v>356</v>
      </c>
      <c r="B357" t="s">
        <v>655</v>
      </c>
    </row>
    <row r="358" spans="1:2" x14ac:dyDescent="0.4">
      <c r="A358">
        <v>357</v>
      </c>
      <c r="B358" t="s">
        <v>656</v>
      </c>
    </row>
    <row r="359" spans="1:2" x14ac:dyDescent="0.4">
      <c r="A359">
        <v>358</v>
      </c>
      <c r="B359" t="s">
        <v>657</v>
      </c>
    </row>
    <row r="360" spans="1:2" x14ac:dyDescent="0.4">
      <c r="A360">
        <v>359</v>
      </c>
      <c r="B360" t="s">
        <v>658</v>
      </c>
    </row>
    <row r="361" spans="1:2" x14ac:dyDescent="0.4">
      <c r="A361">
        <v>360</v>
      </c>
      <c r="B361" t="s">
        <v>659</v>
      </c>
    </row>
    <row r="362" spans="1:2" x14ac:dyDescent="0.4">
      <c r="A362">
        <v>361</v>
      </c>
      <c r="B362" t="s">
        <v>660</v>
      </c>
    </row>
    <row r="363" spans="1:2" x14ac:dyDescent="0.4">
      <c r="A363">
        <v>362</v>
      </c>
      <c r="B363" t="s">
        <v>661</v>
      </c>
    </row>
    <row r="364" spans="1:2" x14ac:dyDescent="0.4">
      <c r="A364">
        <v>363</v>
      </c>
      <c r="B364" t="s">
        <v>662</v>
      </c>
    </row>
    <row r="365" spans="1:2" x14ac:dyDescent="0.4">
      <c r="A365">
        <v>364</v>
      </c>
      <c r="B365" t="s">
        <v>663</v>
      </c>
    </row>
    <row r="366" spans="1:2" x14ac:dyDescent="0.4">
      <c r="A366">
        <v>365</v>
      </c>
      <c r="B366" t="s">
        <v>664</v>
      </c>
    </row>
    <row r="367" spans="1:2" x14ac:dyDescent="0.4">
      <c r="A367">
        <v>366</v>
      </c>
      <c r="B367" t="s">
        <v>665</v>
      </c>
    </row>
    <row r="368" spans="1:2" x14ac:dyDescent="0.4">
      <c r="A368">
        <v>367</v>
      </c>
      <c r="B368" t="s">
        <v>666</v>
      </c>
    </row>
    <row r="369" spans="1:2" x14ac:dyDescent="0.4">
      <c r="A369">
        <v>368</v>
      </c>
      <c r="B369" t="s">
        <v>667</v>
      </c>
    </row>
    <row r="370" spans="1:2" x14ac:dyDescent="0.4">
      <c r="A370">
        <v>369</v>
      </c>
      <c r="B370" t="s">
        <v>668</v>
      </c>
    </row>
    <row r="371" spans="1:2" x14ac:dyDescent="0.4">
      <c r="A371">
        <v>370</v>
      </c>
      <c r="B371" t="s">
        <v>669</v>
      </c>
    </row>
    <row r="372" spans="1:2" x14ac:dyDescent="0.4">
      <c r="A372">
        <v>371</v>
      </c>
      <c r="B372" t="s">
        <v>670</v>
      </c>
    </row>
    <row r="373" spans="1:2" x14ac:dyDescent="0.4">
      <c r="A373">
        <v>372</v>
      </c>
      <c r="B373" t="s">
        <v>671</v>
      </c>
    </row>
    <row r="374" spans="1:2" x14ac:dyDescent="0.4">
      <c r="A374">
        <v>373</v>
      </c>
      <c r="B374" t="s">
        <v>672</v>
      </c>
    </row>
    <row r="375" spans="1:2" x14ac:dyDescent="0.4">
      <c r="A375">
        <v>374</v>
      </c>
      <c r="B375" t="s">
        <v>673</v>
      </c>
    </row>
    <row r="376" spans="1:2" x14ac:dyDescent="0.4">
      <c r="A376">
        <v>375</v>
      </c>
      <c r="B376" t="s">
        <v>674</v>
      </c>
    </row>
    <row r="377" spans="1:2" x14ac:dyDescent="0.4">
      <c r="A377">
        <v>376</v>
      </c>
      <c r="B377" t="s">
        <v>675</v>
      </c>
    </row>
    <row r="378" spans="1:2" x14ac:dyDescent="0.4">
      <c r="A378">
        <v>377</v>
      </c>
      <c r="B378" t="s">
        <v>676</v>
      </c>
    </row>
    <row r="379" spans="1:2" x14ac:dyDescent="0.4">
      <c r="A379">
        <v>378</v>
      </c>
      <c r="B379" t="s">
        <v>677</v>
      </c>
    </row>
    <row r="380" spans="1:2" x14ac:dyDescent="0.4">
      <c r="A380">
        <v>379</v>
      </c>
      <c r="B380" t="s">
        <v>678</v>
      </c>
    </row>
    <row r="381" spans="1:2" x14ac:dyDescent="0.4">
      <c r="A381">
        <v>380</v>
      </c>
      <c r="B381" t="s">
        <v>679</v>
      </c>
    </row>
    <row r="382" spans="1:2" x14ac:dyDescent="0.4">
      <c r="A382">
        <v>381</v>
      </c>
      <c r="B382" t="s">
        <v>680</v>
      </c>
    </row>
    <row r="383" spans="1:2" x14ac:dyDescent="0.4">
      <c r="A383">
        <v>382</v>
      </c>
      <c r="B383" t="s">
        <v>681</v>
      </c>
    </row>
    <row r="384" spans="1:2" x14ac:dyDescent="0.4">
      <c r="A384">
        <v>383</v>
      </c>
      <c r="B384" t="s">
        <v>682</v>
      </c>
    </row>
    <row r="385" spans="1:2" x14ac:dyDescent="0.4">
      <c r="A385">
        <v>384</v>
      </c>
      <c r="B385" t="s">
        <v>683</v>
      </c>
    </row>
    <row r="386" spans="1:2" x14ac:dyDescent="0.4">
      <c r="A386">
        <v>385</v>
      </c>
      <c r="B386" t="s">
        <v>684</v>
      </c>
    </row>
    <row r="387" spans="1:2" x14ac:dyDescent="0.4">
      <c r="A387">
        <v>386</v>
      </c>
      <c r="B387" t="s">
        <v>685</v>
      </c>
    </row>
    <row r="388" spans="1:2" x14ac:dyDescent="0.4">
      <c r="A388">
        <v>387</v>
      </c>
      <c r="B388" t="s">
        <v>686</v>
      </c>
    </row>
    <row r="389" spans="1:2" x14ac:dyDescent="0.4">
      <c r="A389">
        <v>388</v>
      </c>
      <c r="B389" t="s">
        <v>687</v>
      </c>
    </row>
    <row r="390" spans="1:2" x14ac:dyDescent="0.4">
      <c r="A390">
        <v>389</v>
      </c>
      <c r="B390" t="s">
        <v>688</v>
      </c>
    </row>
    <row r="391" spans="1:2" x14ac:dyDescent="0.4">
      <c r="A391">
        <v>390</v>
      </c>
      <c r="B391" t="s">
        <v>689</v>
      </c>
    </row>
    <row r="392" spans="1:2" x14ac:dyDescent="0.4">
      <c r="A392">
        <v>391</v>
      </c>
      <c r="B392" t="s">
        <v>690</v>
      </c>
    </row>
    <row r="393" spans="1:2" x14ac:dyDescent="0.4">
      <c r="A393">
        <v>392</v>
      </c>
      <c r="B393" t="s">
        <v>691</v>
      </c>
    </row>
    <row r="394" spans="1:2" x14ac:dyDescent="0.4">
      <c r="A394">
        <v>393</v>
      </c>
      <c r="B394" t="s">
        <v>692</v>
      </c>
    </row>
    <row r="395" spans="1:2" x14ac:dyDescent="0.4">
      <c r="A395">
        <v>394</v>
      </c>
      <c r="B395" t="s">
        <v>693</v>
      </c>
    </row>
    <row r="396" spans="1:2" x14ac:dyDescent="0.4">
      <c r="A396">
        <v>395</v>
      </c>
      <c r="B396" t="s">
        <v>694</v>
      </c>
    </row>
    <row r="397" spans="1:2" x14ac:dyDescent="0.4">
      <c r="A397">
        <v>396</v>
      </c>
      <c r="B397" t="s">
        <v>695</v>
      </c>
    </row>
    <row r="398" spans="1:2" x14ac:dyDescent="0.4">
      <c r="A398">
        <v>397</v>
      </c>
      <c r="B398" t="s">
        <v>696</v>
      </c>
    </row>
    <row r="399" spans="1:2" x14ac:dyDescent="0.4">
      <c r="A399">
        <v>398</v>
      </c>
      <c r="B399" t="s">
        <v>697</v>
      </c>
    </row>
    <row r="400" spans="1:2" x14ac:dyDescent="0.4">
      <c r="A400">
        <v>399</v>
      </c>
      <c r="B400" t="s">
        <v>698</v>
      </c>
    </row>
    <row r="401" spans="1:2" x14ac:dyDescent="0.4">
      <c r="A401">
        <v>400</v>
      </c>
      <c r="B401" t="s">
        <v>699</v>
      </c>
    </row>
    <row r="402" spans="1:2" x14ac:dyDescent="0.4">
      <c r="A402">
        <v>401</v>
      </c>
      <c r="B402" t="s">
        <v>700</v>
      </c>
    </row>
    <row r="403" spans="1:2" x14ac:dyDescent="0.4">
      <c r="A403">
        <v>402</v>
      </c>
      <c r="B403" t="s">
        <v>701</v>
      </c>
    </row>
    <row r="404" spans="1:2" x14ac:dyDescent="0.4">
      <c r="A404">
        <v>403</v>
      </c>
      <c r="B404" t="s">
        <v>702</v>
      </c>
    </row>
    <row r="405" spans="1:2" x14ac:dyDescent="0.4">
      <c r="A405">
        <v>404</v>
      </c>
      <c r="B405" t="s">
        <v>703</v>
      </c>
    </row>
    <row r="406" spans="1:2" x14ac:dyDescent="0.4">
      <c r="A406">
        <v>405</v>
      </c>
      <c r="B406" t="s">
        <v>704</v>
      </c>
    </row>
    <row r="407" spans="1:2" x14ac:dyDescent="0.4">
      <c r="A407">
        <v>406</v>
      </c>
      <c r="B407" t="s">
        <v>705</v>
      </c>
    </row>
    <row r="408" spans="1:2" x14ac:dyDescent="0.4">
      <c r="A408">
        <v>407</v>
      </c>
      <c r="B408" t="s">
        <v>706</v>
      </c>
    </row>
    <row r="409" spans="1:2" x14ac:dyDescent="0.4">
      <c r="A409">
        <v>408</v>
      </c>
      <c r="B409" t="s">
        <v>707</v>
      </c>
    </row>
    <row r="410" spans="1:2" x14ac:dyDescent="0.4">
      <c r="A410">
        <v>409</v>
      </c>
      <c r="B410" t="s">
        <v>708</v>
      </c>
    </row>
    <row r="411" spans="1:2" x14ac:dyDescent="0.4">
      <c r="A411">
        <v>410</v>
      </c>
      <c r="B411" t="s">
        <v>709</v>
      </c>
    </row>
    <row r="412" spans="1:2" x14ac:dyDescent="0.4">
      <c r="A412">
        <v>411</v>
      </c>
      <c r="B412" t="s">
        <v>710</v>
      </c>
    </row>
    <row r="413" spans="1:2" x14ac:dyDescent="0.4">
      <c r="A413">
        <v>412</v>
      </c>
      <c r="B413" t="s">
        <v>711</v>
      </c>
    </row>
    <row r="414" spans="1:2" x14ac:dyDescent="0.4">
      <c r="A414">
        <v>413</v>
      </c>
      <c r="B414" t="s">
        <v>712</v>
      </c>
    </row>
    <row r="415" spans="1:2" x14ac:dyDescent="0.4">
      <c r="A415">
        <v>414</v>
      </c>
      <c r="B415" t="s">
        <v>713</v>
      </c>
    </row>
    <row r="416" spans="1:2" x14ac:dyDescent="0.4">
      <c r="A416">
        <v>415</v>
      </c>
      <c r="B416" t="s">
        <v>714</v>
      </c>
    </row>
    <row r="417" spans="1:2" x14ac:dyDescent="0.4">
      <c r="A417">
        <v>416</v>
      </c>
      <c r="B417" t="s">
        <v>715</v>
      </c>
    </row>
    <row r="418" spans="1:2" x14ac:dyDescent="0.4">
      <c r="A418">
        <v>417</v>
      </c>
      <c r="B418" t="s">
        <v>716</v>
      </c>
    </row>
    <row r="419" spans="1:2" x14ac:dyDescent="0.4">
      <c r="A419">
        <v>418</v>
      </c>
      <c r="B419" t="s">
        <v>717</v>
      </c>
    </row>
    <row r="420" spans="1:2" x14ac:dyDescent="0.4">
      <c r="A420">
        <v>419</v>
      </c>
      <c r="B420" t="s">
        <v>718</v>
      </c>
    </row>
    <row r="421" spans="1:2" x14ac:dyDescent="0.4">
      <c r="A421">
        <v>420</v>
      </c>
      <c r="B421" t="s">
        <v>719</v>
      </c>
    </row>
    <row r="422" spans="1:2" x14ac:dyDescent="0.4">
      <c r="A422">
        <v>421</v>
      </c>
      <c r="B422" t="s">
        <v>720</v>
      </c>
    </row>
    <row r="423" spans="1:2" x14ac:dyDescent="0.4">
      <c r="A423">
        <v>422</v>
      </c>
      <c r="B423" t="s">
        <v>721</v>
      </c>
    </row>
    <row r="424" spans="1:2" x14ac:dyDescent="0.4">
      <c r="A424">
        <v>423</v>
      </c>
      <c r="B424" t="s">
        <v>722</v>
      </c>
    </row>
    <row r="425" spans="1:2" x14ac:dyDescent="0.4">
      <c r="A425">
        <v>424</v>
      </c>
      <c r="B425" t="s">
        <v>723</v>
      </c>
    </row>
    <row r="426" spans="1:2" x14ac:dyDescent="0.4">
      <c r="A426">
        <v>425</v>
      </c>
      <c r="B426" t="s">
        <v>724</v>
      </c>
    </row>
    <row r="427" spans="1:2" x14ac:dyDescent="0.4">
      <c r="A427">
        <v>426</v>
      </c>
      <c r="B427" t="s">
        <v>516</v>
      </c>
    </row>
    <row r="428" spans="1:2" x14ac:dyDescent="0.4">
      <c r="A428">
        <v>427</v>
      </c>
      <c r="B428" t="s">
        <v>725</v>
      </c>
    </row>
    <row r="429" spans="1:2" x14ac:dyDescent="0.4">
      <c r="A429">
        <v>428</v>
      </c>
      <c r="B429" t="s">
        <v>726</v>
      </c>
    </row>
    <row r="430" spans="1:2" x14ac:dyDescent="0.4">
      <c r="A430">
        <v>429</v>
      </c>
      <c r="B430" t="s">
        <v>727</v>
      </c>
    </row>
    <row r="431" spans="1:2" x14ac:dyDescent="0.4">
      <c r="A431">
        <v>430</v>
      </c>
      <c r="B431" t="s">
        <v>728</v>
      </c>
    </row>
    <row r="432" spans="1:2" x14ac:dyDescent="0.4">
      <c r="A432">
        <v>431</v>
      </c>
      <c r="B432" t="s">
        <v>729</v>
      </c>
    </row>
    <row r="433" spans="1:2" x14ac:dyDescent="0.4">
      <c r="A433">
        <v>432</v>
      </c>
      <c r="B433" t="s">
        <v>730</v>
      </c>
    </row>
    <row r="434" spans="1:2" x14ac:dyDescent="0.4">
      <c r="A434">
        <v>433</v>
      </c>
      <c r="B434" t="s">
        <v>731</v>
      </c>
    </row>
    <row r="435" spans="1:2" x14ac:dyDescent="0.4">
      <c r="A435">
        <v>434</v>
      </c>
      <c r="B435" t="s">
        <v>732</v>
      </c>
    </row>
    <row r="436" spans="1:2" x14ac:dyDescent="0.4">
      <c r="A436">
        <v>435</v>
      </c>
      <c r="B436" t="s">
        <v>733</v>
      </c>
    </row>
    <row r="437" spans="1:2" x14ac:dyDescent="0.4">
      <c r="A437">
        <v>436</v>
      </c>
      <c r="B437" t="s">
        <v>734</v>
      </c>
    </row>
    <row r="438" spans="1:2" x14ac:dyDescent="0.4">
      <c r="A438">
        <v>437</v>
      </c>
      <c r="B438" t="s">
        <v>735</v>
      </c>
    </row>
    <row r="439" spans="1:2" x14ac:dyDescent="0.4">
      <c r="A439">
        <v>438</v>
      </c>
      <c r="B439" t="s">
        <v>736</v>
      </c>
    </row>
    <row r="440" spans="1:2" x14ac:dyDescent="0.4">
      <c r="A440">
        <v>439</v>
      </c>
      <c r="B440" t="s">
        <v>737</v>
      </c>
    </row>
    <row r="441" spans="1:2" x14ac:dyDescent="0.4">
      <c r="A441">
        <v>440</v>
      </c>
      <c r="B441" t="s">
        <v>738</v>
      </c>
    </row>
    <row r="442" spans="1:2" x14ac:dyDescent="0.4">
      <c r="A442">
        <v>441</v>
      </c>
      <c r="B442" t="s">
        <v>739</v>
      </c>
    </row>
    <row r="443" spans="1:2" x14ac:dyDescent="0.4">
      <c r="A443">
        <v>442</v>
      </c>
      <c r="B443" t="s">
        <v>740</v>
      </c>
    </row>
    <row r="444" spans="1:2" x14ac:dyDescent="0.4">
      <c r="A444">
        <v>443</v>
      </c>
      <c r="B444" t="s">
        <v>741</v>
      </c>
    </row>
    <row r="445" spans="1:2" x14ac:dyDescent="0.4">
      <c r="A445">
        <v>444</v>
      </c>
      <c r="B445" t="s">
        <v>742</v>
      </c>
    </row>
    <row r="446" spans="1:2" x14ac:dyDescent="0.4">
      <c r="A446">
        <v>445</v>
      </c>
      <c r="B446" t="s">
        <v>743</v>
      </c>
    </row>
    <row r="447" spans="1:2" x14ac:dyDescent="0.4">
      <c r="A447">
        <v>446</v>
      </c>
      <c r="B447" t="s">
        <v>744</v>
      </c>
    </row>
    <row r="448" spans="1:2" x14ac:dyDescent="0.4">
      <c r="A448">
        <v>447</v>
      </c>
      <c r="B448" t="s">
        <v>745</v>
      </c>
    </row>
    <row r="449" spans="1:2" x14ac:dyDescent="0.4">
      <c r="A449">
        <v>448</v>
      </c>
      <c r="B449" t="s">
        <v>746</v>
      </c>
    </row>
    <row r="450" spans="1:2" x14ac:dyDescent="0.4">
      <c r="A450">
        <v>449</v>
      </c>
      <c r="B450" t="s">
        <v>747</v>
      </c>
    </row>
    <row r="451" spans="1:2" x14ac:dyDescent="0.4">
      <c r="A451">
        <v>450</v>
      </c>
      <c r="B451" t="s">
        <v>748</v>
      </c>
    </row>
    <row r="452" spans="1:2" x14ac:dyDescent="0.4">
      <c r="A452">
        <v>451</v>
      </c>
      <c r="B452" t="s">
        <v>749</v>
      </c>
    </row>
    <row r="453" spans="1:2" x14ac:dyDescent="0.4">
      <c r="A453">
        <v>452</v>
      </c>
      <c r="B453" t="s">
        <v>750</v>
      </c>
    </row>
    <row r="454" spans="1:2" x14ac:dyDescent="0.4">
      <c r="A454">
        <v>453</v>
      </c>
      <c r="B454" t="s">
        <v>751</v>
      </c>
    </row>
    <row r="455" spans="1:2" x14ac:dyDescent="0.4">
      <c r="A455">
        <v>454</v>
      </c>
      <c r="B455" t="s">
        <v>752</v>
      </c>
    </row>
    <row r="456" spans="1:2" x14ac:dyDescent="0.4">
      <c r="A456">
        <v>455</v>
      </c>
      <c r="B456" t="s">
        <v>753</v>
      </c>
    </row>
    <row r="457" spans="1:2" x14ac:dyDescent="0.4">
      <c r="A457">
        <v>456</v>
      </c>
      <c r="B457" t="s">
        <v>754</v>
      </c>
    </row>
    <row r="458" spans="1:2" x14ac:dyDescent="0.4">
      <c r="A458">
        <v>457</v>
      </c>
      <c r="B458" t="s">
        <v>755</v>
      </c>
    </row>
    <row r="459" spans="1:2" x14ac:dyDescent="0.4">
      <c r="A459">
        <v>458</v>
      </c>
      <c r="B459" t="s">
        <v>756</v>
      </c>
    </row>
    <row r="460" spans="1:2" x14ac:dyDescent="0.4">
      <c r="A460">
        <v>459</v>
      </c>
      <c r="B460" t="s">
        <v>757</v>
      </c>
    </row>
    <row r="461" spans="1:2" x14ac:dyDescent="0.4">
      <c r="A461">
        <v>460</v>
      </c>
      <c r="B461" t="s">
        <v>758</v>
      </c>
    </row>
    <row r="462" spans="1:2" x14ac:dyDescent="0.4">
      <c r="A462">
        <v>461</v>
      </c>
      <c r="B462" t="s">
        <v>759</v>
      </c>
    </row>
    <row r="463" spans="1:2" x14ac:dyDescent="0.4">
      <c r="A463">
        <v>462</v>
      </c>
      <c r="B463" t="s">
        <v>760</v>
      </c>
    </row>
    <row r="464" spans="1:2" x14ac:dyDescent="0.4">
      <c r="A464">
        <v>463</v>
      </c>
      <c r="B464" t="s">
        <v>761</v>
      </c>
    </row>
    <row r="465" spans="1:2" x14ac:dyDescent="0.4">
      <c r="A465">
        <v>464</v>
      </c>
      <c r="B465" t="s">
        <v>762</v>
      </c>
    </row>
    <row r="466" spans="1:2" x14ac:dyDescent="0.4">
      <c r="A466">
        <v>465</v>
      </c>
      <c r="B466" t="s">
        <v>763</v>
      </c>
    </row>
    <row r="467" spans="1:2" x14ac:dyDescent="0.4">
      <c r="A467">
        <v>466</v>
      </c>
      <c r="B467" t="s">
        <v>764</v>
      </c>
    </row>
    <row r="468" spans="1:2" x14ac:dyDescent="0.4">
      <c r="A468">
        <v>467</v>
      </c>
      <c r="B468" t="s">
        <v>765</v>
      </c>
    </row>
    <row r="469" spans="1:2" x14ac:dyDescent="0.4">
      <c r="A469">
        <v>468</v>
      </c>
      <c r="B469" t="s">
        <v>766</v>
      </c>
    </row>
    <row r="470" spans="1:2" x14ac:dyDescent="0.4">
      <c r="A470">
        <v>469</v>
      </c>
      <c r="B470" t="s">
        <v>767</v>
      </c>
    </row>
    <row r="471" spans="1:2" x14ac:dyDescent="0.4">
      <c r="A471">
        <v>470</v>
      </c>
      <c r="B471" t="s">
        <v>768</v>
      </c>
    </row>
    <row r="472" spans="1:2" x14ac:dyDescent="0.4">
      <c r="A472">
        <v>471</v>
      </c>
      <c r="B472" t="s">
        <v>769</v>
      </c>
    </row>
    <row r="473" spans="1:2" x14ac:dyDescent="0.4">
      <c r="A473">
        <v>472</v>
      </c>
      <c r="B473" t="s">
        <v>770</v>
      </c>
    </row>
    <row r="474" spans="1:2" x14ac:dyDescent="0.4">
      <c r="A474">
        <v>473</v>
      </c>
      <c r="B474" t="s">
        <v>771</v>
      </c>
    </row>
    <row r="475" spans="1:2" x14ac:dyDescent="0.4">
      <c r="A475">
        <v>474</v>
      </c>
      <c r="B475" t="s">
        <v>772</v>
      </c>
    </row>
    <row r="476" spans="1:2" x14ac:dyDescent="0.4">
      <c r="A476">
        <v>475</v>
      </c>
      <c r="B476" t="s">
        <v>773</v>
      </c>
    </row>
    <row r="477" spans="1:2" x14ac:dyDescent="0.4">
      <c r="A477">
        <v>476</v>
      </c>
      <c r="B477" t="s">
        <v>774</v>
      </c>
    </row>
    <row r="478" spans="1:2" x14ac:dyDescent="0.4">
      <c r="A478">
        <v>477</v>
      </c>
      <c r="B478" t="s">
        <v>775</v>
      </c>
    </row>
    <row r="479" spans="1:2" x14ac:dyDescent="0.4">
      <c r="A479">
        <v>478</v>
      </c>
      <c r="B479" t="s">
        <v>776</v>
      </c>
    </row>
    <row r="480" spans="1:2" x14ac:dyDescent="0.4">
      <c r="A480">
        <v>479</v>
      </c>
      <c r="B480" t="s">
        <v>777</v>
      </c>
    </row>
    <row r="481" spans="1:2" x14ac:dyDescent="0.4">
      <c r="A481">
        <v>480</v>
      </c>
      <c r="B481" t="s">
        <v>778</v>
      </c>
    </row>
    <row r="482" spans="1:2" x14ac:dyDescent="0.4">
      <c r="A482">
        <v>481</v>
      </c>
      <c r="B482" t="s">
        <v>779</v>
      </c>
    </row>
    <row r="483" spans="1:2" x14ac:dyDescent="0.4">
      <c r="A483">
        <v>482</v>
      </c>
      <c r="B483" t="s">
        <v>780</v>
      </c>
    </row>
    <row r="484" spans="1:2" x14ac:dyDescent="0.4">
      <c r="A484">
        <v>483</v>
      </c>
      <c r="B484" t="s">
        <v>781</v>
      </c>
    </row>
    <row r="485" spans="1:2" x14ac:dyDescent="0.4">
      <c r="A485">
        <v>484</v>
      </c>
      <c r="B485" t="s">
        <v>782</v>
      </c>
    </row>
    <row r="486" spans="1:2" x14ac:dyDescent="0.4">
      <c r="A486">
        <v>485</v>
      </c>
      <c r="B486" t="s">
        <v>783</v>
      </c>
    </row>
    <row r="487" spans="1:2" x14ac:dyDescent="0.4">
      <c r="A487">
        <v>486</v>
      </c>
      <c r="B487" t="s">
        <v>784</v>
      </c>
    </row>
    <row r="488" spans="1:2" x14ac:dyDescent="0.4">
      <c r="A488">
        <v>487</v>
      </c>
      <c r="B488" t="s">
        <v>785</v>
      </c>
    </row>
    <row r="489" spans="1:2" x14ac:dyDescent="0.4">
      <c r="A489">
        <v>488</v>
      </c>
      <c r="B489" t="s">
        <v>786</v>
      </c>
    </row>
    <row r="490" spans="1:2" x14ac:dyDescent="0.4">
      <c r="A490">
        <v>489</v>
      </c>
      <c r="B490" t="s">
        <v>787</v>
      </c>
    </row>
    <row r="491" spans="1:2" x14ac:dyDescent="0.4">
      <c r="A491">
        <v>490</v>
      </c>
      <c r="B491" t="s">
        <v>788</v>
      </c>
    </row>
    <row r="492" spans="1:2" x14ac:dyDescent="0.4">
      <c r="A492">
        <v>491</v>
      </c>
      <c r="B492" t="s">
        <v>789</v>
      </c>
    </row>
    <row r="493" spans="1:2" x14ac:dyDescent="0.4">
      <c r="A493">
        <v>492</v>
      </c>
      <c r="B493" t="s">
        <v>790</v>
      </c>
    </row>
    <row r="494" spans="1:2" x14ac:dyDescent="0.4">
      <c r="A494">
        <v>493</v>
      </c>
      <c r="B494" t="s">
        <v>791</v>
      </c>
    </row>
    <row r="495" spans="1:2" x14ac:dyDescent="0.4">
      <c r="A495">
        <v>494</v>
      </c>
      <c r="B495" t="s">
        <v>792</v>
      </c>
    </row>
    <row r="496" spans="1:2" x14ac:dyDescent="0.4">
      <c r="A496">
        <v>495</v>
      </c>
      <c r="B496" t="s">
        <v>793</v>
      </c>
    </row>
    <row r="497" spans="1:2" x14ac:dyDescent="0.4">
      <c r="A497">
        <v>496</v>
      </c>
      <c r="B497" t="s">
        <v>794</v>
      </c>
    </row>
    <row r="498" spans="1:2" x14ac:dyDescent="0.4">
      <c r="A498">
        <v>497</v>
      </c>
      <c r="B498" t="s">
        <v>795</v>
      </c>
    </row>
    <row r="499" spans="1:2" x14ac:dyDescent="0.4">
      <c r="A499">
        <v>498</v>
      </c>
      <c r="B499" t="s">
        <v>796</v>
      </c>
    </row>
    <row r="500" spans="1:2" x14ac:dyDescent="0.4">
      <c r="A500">
        <v>499</v>
      </c>
      <c r="B500" t="s">
        <v>797</v>
      </c>
    </row>
    <row r="501" spans="1:2" x14ac:dyDescent="0.4">
      <c r="A501">
        <v>500</v>
      </c>
      <c r="B501" t="s">
        <v>798</v>
      </c>
    </row>
    <row r="502" spans="1:2" x14ac:dyDescent="0.4">
      <c r="A502">
        <v>501</v>
      </c>
      <c r="B502" t="s">
        <v>799</v>
      </c>
    </row>
    <row r="503" spans="1:2" x14ac:dyDescent="0.4">
      <c r="A503">
        <v>502</v>
      </c>
      <c r="B503" t="s">
        <v>800</v>
      </c>
    </row>
    <row r="504" spans="1:2" x14ac:dyDescent="0.4">
      <c r="A504">
        <v>503</v>
      </c>
      <c r="B504" t="s">
        <v>801</v>
      </c>
    </row>
    <row r="505" spans="1:2" x14ac:dyDescent="0.4">
      <c r="A505">
        <v>504</v>
      </c>
      <c r="B505" t="s">
        <v>802</v>
      </c>
    </row>
    <row r="506" spans="1:2" x14ac:dyDescent="0.4">
      <c r="A506">
        <v>505</v>
      </c>
      <c r="B506" t="s">
        <v>803</v>
      </c>
    </row>
    <row r="507" spans="1:2" x14ac:dyDescent="0.4">
      <c r="A507">
        <v>506</v>
      </c>
      <c r="B507" t="s">
        <v>804</v>
      </c>
    </row>
    <row r="508" spans="1:2" x14ac:dyDescent="0.4">
      <c r="A508">
        <v>507</v>
      </c>
      <c r="B508" t="s">
        <v>805</v>
      </c>
    </row>
    <row r="509" spans="1:2" x14ac:dyDescent="0.4">
      <c r="A509">
        <v>508</v>
      </c>
      <c r="B509" t="s">
        <v>806</v>
      </c>
    </row>
    <row r="510" spans="1:2" x14ac:dyDescent="0.4">
      <c r="A510">
        <v>509</v>
      </c>
      <c r="B510" t="s">
        <v>807</v>
      </c>
    </row>
    <row r="511" spans="1:2" x14ac:dyDescent="0.4">
      <c r="A511">
        <v>510</v>
      </c>
      <c r="B511" t="s">
        <v>808</v>
      </c>
    </row>
    <row r="512" spans="1:2" x14ac:dyDescent="0.4">
      <c r="A512">
        <v>511</v>
      </c>
      <c r="B512" t="s">
        <v>809</v>
      </c>
    </row>
    <row r="513" spans="1:2" x14ac:dyDescent="0.4">
      <c r="A513">
        <v>512</v>
      </c>
      <c r="B513" t="s">
        <v>810</v>
      </c>
    </row>
    <row r="514" spans="1:2" x14ac:dyDescent="0.4">
      <c r="A514">
        <v>513</v>
      </c>
      <c r="B514" t="s">
        <v>811</v>
      </c>
    </row>
    <row r="515" spans="1:2" x14ac:dyDescent="0.4">
      <c r="A515">
        <v>514</v>
      </c>
      <c r="B515" t="s">
        <v>812</v>
      </c>
    </row>
    <row r="516" spans="1:2" x14ac:dyDescent="0.4">
      <c r="A516">
        <v>515</v>
      </c>
      <c r="B516" t="s">
        <v>813</v>
      </c>
    </row>
    <row r="517" spans="1:2" x14ac:dyDescent="0.4">
      <c r="A517">
        <v>516</v>
      </c>
      <c r="B517" t="s">
        <v>814</v>
      </c>
    </row>
    <row r="518" spans="1:2" x14ac:dyDescent="0.4">
      <c r="A518">
        <v>517</v>
      </c>
      <c r="B518" t="s">
        <v>815</v>
      </c>
    </row>
    <row r="519" spans="1:2" x14ac:dyDescent="0.4">
      <c r="A519">
        <v>518</v>
      </c>
      <c r="B519" t="s">
        <v>816</v>
      </c>
    </row>
    <row r="520" spans="1:2" x14ac:dyDescent="0.4">
      <c r="A520">
        <v>519</v>
      </c>
      <c r="B520" t="s">
        <v>817</v>
      </c>
    </row>
    <row r="521" spans="1:2" x14ac:dyDescent="0.4">
      <c r="A521">
        <v>520</v>
      </c>
      <c r="B521" t="s">
        <v>818</v>
      </c>
    </row>
    <row r="522" spans="1:2" x14ac:dyDescent="0.4">
      <c r="A522">
        <v>521</v>
      </c>
      <c r="B522" t="s">
        <v>819</v>
      </c>
    </row>
    <row r="523" spans="1:2" x14ac:dyDescent="0.4">
      <c r="A523">
        <v>522</v>
      </c>
      <c r="B523" t="s">
        <v>820</v>
      </c>
    </row>
    <row r="524" spans="1:2" x14ac:dyDescent="0.4">
      <c r="A524">
        <v>523</v>
      </c>
      <c r="B524" t="s">
        <v>821</v>
      </c>
    </row>
    <row r="525" spans="1:2" x14ac:dyDescent="0.4">
      <c r="A525">
        <v>524</v>
      </c>
      <c r="B525" t="s">
        <v>822</v>
      </c>
    </row>
    <row r="526" spans="1:2" x14ac:dyDescent="0.4">
      <c r="A526">
        <v>525</v>
      </c>
      <c r="B526" t="s">
        <v>823</v>
      </c>
    </row>
    <row r="527" spans="1:2" x14ac:dyDescent="0.4">
      <c r="A527">
        <v>526</v>
      </c>
      <c r="B527" t="s">
        <v>824</v>
      </c>
    </row>
    <row r="528" spans="1:2" x14ac:dyDescent="0.4">
      <c r="A528">
        <v>527</v>
      </c>
      <c r="B528" t="s">
        <v>825</v>
      </c>
    </row>
    <row r="529" spans="1:2" x14ac:dyDescent="0.4">
      <c r="A529">
        <v>528</v>
      </c>
      <c r="B529" t="s">
        <v>826</v>
      </c>
    </row>
    <row r="530" spans="1:2" x14ac:dyDescent="0.4">
      <c r="A530">
        <v>529</v>
      </c>
      <c r="B530" t="s">
        <v>827</v>
      </c>
    </row>
    <row r="531" spans="1:2" x14ac:dyDescent="0.4">
      <c r="A531">
        <v>530</v>
      </c>
      <c r="B531" t="s">
        <v>828</v>
      </c>
    </row>
    <row r="532" spans="1:2" x14ac:dyDescent="0.4">
      <c r="A532">
        <v>531</v>
      </c>
      <c r="B532" t="s">
        <v>829</v>
      </c>
    </row>
    <row r="533" spans="1:2" x14ac:dyDescent="0.4">
      <c r="A533">
        <v>532</v>
      </c>
      <c r="B533" t="s">
        <v>830</v>
      </c>
    </row>
    <row r="534" spans="1:2" x14ac:dyDescent="0.4">
      <c r="A534">
        <v>533</v>
      </c>
      <c r="B534" t="s">
        <v>831</v>
      </c>
    </row>
    <row r="535" spans="1:2" x14ac:dyDescent="0.4">
      <c r="A535">
        <v>534</v>
      </c>
      <c r="B535" t="s">
        <v>832</v>
      </c>
    </row>
    <row r="536" spans="1:2" x14ac:dyDescent="0.4">
      <c r="A536">
        <v>535</v>
      </c>
      <c r="B536" t="s">
        <v>833</v>
      </c>
    </row>
    <row r="537" spans="1:2" x14ac:dyDescent="0.4">
      <c r="A537">
        <v>536</v>
      </c>
      <c r="B537" t="s">
        <v>834</v>
      </c>
    </row>
    <row r="538" spans="1:2" x14ac:dyDescent="0.4">
      <c r="A538">
        <v>537</v>
      </c>
      <c r="B538" t="s">
        <v>835</v>
      </c>
    </row>
    <row r="539" spans="1:2" x14ac:dyDescent="0.4">
      <c r="A539">
        <v>538</v>
      </c>
      <c r="B539" t="s">
        <v>836</v>
      </c>
    </row>
    <row r="540" spans="1:2" x14ac:dyDescent="0.4">
      <c r="A540">
        <v>539</v>
      </c>
      <c r="B540" t="s">
        <v>837</v>
      </c>
    </row>
    <row r="541" spans="1:2" x14ac:dyDescent="0.4">
      <c r="A541">
        <v>540</v>
      </c>
      <c r="B541" t="s">
        <v>838</v>
      </c>
    </row>
    <row r="542" spans="1:2" x14ac:dyDescent="0.4">
      <c r="A542">
        <v>541</v>
      </c>
      <c r="B542" s="83"/>
    </row>
    <row r="543" spans="1:2" x14ac:dyDescent="0.4">
      <c r="A543">
        <v>542</v>
      </c>
      <c r="B543" t="s">
        <v>839</v>
      </c>
    </row>
    <row r="544" spans="1:2" x14ac:dyDescent="0.4">
      <c r="A544">
        <v>543</v>
      </c>
      <c r="B544" t="s">
        <v>840</v>
      </c>
    </row>
    <row r="545" spans="1:2" x14ac:dyDescent="0.4">
      <c r="A545">
        <v>544</v>
      </c>
      <c r="B545" t="s">
        <v>841</v>
      </c>
    </row>
    <row r="546" spans="1:2" x14ac:dyDescent="0.4">
      <c r="A546">
        <v>545</v>
      </c>
      <c r="B546" t="s">
        <v>842</v>
      </c>
    </row>
    <row r="547" spans="1:2" x14ac:dyDescent="0.4">
      <c r="A547">
        <v>546</v>
      </c>
      <c r="B547" t="s">
        <v>843</v>
      </c>
    </row>
    <row r="548" spans="1:2" x14ac:dyDescent="0.4">
      <c r="A548">
        <v>547</v>
      </c>
      <c r="B548" t="s">
        <v>844</v>
      </c>
    </row>
    <row r="549" spans="1:2" x14ac:dyDescent="0.4">
      <c r="A549">
        <v>548</v>
      </c>
      <c r="B549" t="s">
        <v>845</v>
      </c>
    </row>
    <row r="550" spans="1:2" x14ac:dyDescent="0.4">
      <c r="A550">
        <v>549</v>
      </c>
      <c r="B550" t="s">
        <v>846</v>
      </c>
    </row>
    <row r="551" spans="1:2" x14ac:dyDescent="0.4">
      <c r="A551">
        <v>550</v>
      </c>
      <c r="B551" t="s">
        <v>847</v>
      </c>
    </row>
    <row r="552" spans="1:2" x14ac:dyDescent="0.4">
      <c r="A552">
        <v>551</v>
      </c>
      <c r="B552" t="s">
        <v>848</v>
      </c>
    </row>
    <row r="553" spans="1:2" x14ac:dyDescent="0.4">
      <c r="A553">
        <v>552</v>
      </c>
      <c r="B553" t="s">
        <v>849</v>
      </c>
    </row>
    <row r="554" spans="1:2" x14ac:dyDescent="0.4">
      <c r="A554">
        <v>553</v>
      </c>
      <c r="B554" t="s">
        <v>850</v>
      </c>
    </row>
    <row r="555" spans="1:2" x14ac:dyDescent="0.4">
      <c r="A555">
        <v>554</v>
      </c>
      <c r="B555" t="s">
        <v>851</v>
      </c>
    </row>
    <row r="556" spans="1:2" x14ac:dyDescent="0.4">
      <c r="A556">
        <v>555</v>
      </c>
      <c r="B556" t="s">
        <v>852</v>
      </c>
    </row>
    <row r="557" spans="1:2" x14ac:dyDescent="0.4">
      <c r="A557">
        <v>556</v>
      </c>
      <c r="B557" t="s">
        <v>853</v>
      </c>
    </row>
    <row r="558" spans="1:2" x14ac:dyDescent="0.4">
      <c r="A558">
        <v>557</v>
      </c>
      <c r="B558" t="s">
        <v>854</v>
      </c>
    </row>
    <row r="559" spans="1:2" x14ac:dyDescent="0.4">
      <c r="A559">
        <v>558</v>
      </c>
      <c r="B559" t="s">
        <v>855</v>
      </c>
    </row>
    <row r="560" spans="1:2" x14ac:dyDescent="0.4">
      <c r="A560">
        <v>559</v>
      </c>
      <c r="B560" t="s">
        <v>856</v>
      </c>
    </row>
    <row r="561" spans="1:2" x14ac:dyDescent="0.4">
      <c r="A561">
        <v>560</v>
      </c>
      <c r="B561" t="s">
        <v>857</v>
      </c>
    </row>
    <row r="562" spans="1:2" x14ac:dyDescent="0.4">
      <c r="A562">
        <v>561</v>
      </c>
      <c r="B562" t="s">
        <v>858</v>
      </c>
    </row>
    <row r="563" spans="1:2" x14ac:dyDescent="0.4">
      <c r="A563">
        <v>562</v>
      </c>
      <c r="B563" t="s">
        <v>859</v>
      </c>
    </row>
    <row r="564" spans="1:2" x14ac:dyDescent="0.4">
      <c r="A564">
        <v>563</v>
      </c>
      <c r="B564" t="s">
        <v>860</v>
      </c>
    </row>
    <row r="565" spans="1:2" x14ac:dyDescent="0.4">
      <c r="A565">
        <v>564</v>
      </c>
      <c r="B565" t="s">
        <v>861</v>
      </c>
    </row>
    <row r="566" spans="1:2" x14ac:dyDescent="0.4">
      <c r="A566">
        <v>565</v>
      </c>
      <c r="B566" t="s">
        <v>862</v>
      </c>
    </row>
    <row r="567" spans="1:2" x14ac:dyDescent="0.4">
      <c r="A567">
        <v>566</v>
      </c>
      <c r="B567" t="s">
        <v>863</v>
      </c>
    </row>
    <row r="568" spans="1:2" x14ac:dyDescent="0.4">
      <c r="A568">
        <v>567</v>
      </c>
      <c r="B568" t="s">
        <v>864</v>
      </c>
    </row>
    <row r="569" spans="1:2" x14ac:dyDescent="0.4">
      <c r="A569">
        <v>568</v>
      </c>
      <c r="B569" t="s">
        <v>865</v>
      </c>
    </row>
    <row r="570" spans="1:2" x14ac:dyDescent="0.4">
      <c r="A570">
        <v>569</v>
      </c>
      <c r="B570" t="s">
        <v>866</v>
      </c>
    </row>
    <row r="571" spans="1:2" x14ac:dyDescent="0.4">
      <c r="A571">
        <v>570</v>
      </c>
      <c r="B571" t="s">
        <v>867</v>
      </c>
    </row>
    <row r="572" spans="1:2" x14ac:dyDescent="0.4">
      <c r="A572">
        <v>571</v>
      </c>
      <c r="B572" t="s">
        <v>868</v>
      </c>
    </row>
    <row r="573" spans="1:2" x14ac:dyDescent="0.4">
      <c r="A573">
        <v>572</v>
      </c>
      <c r="B573" t="s">
        <v>869</v>
      </c>
    </row>
    <row r="574" spans="1:2" x14ac:dyDescent="0.4">
      <c r="A574">
        <v>573</v>
      </c>
      <c r="B574" t="s">
        <v>870</v>
      </c>
    </row>
    <row r="575" spans="1:2" x14ac:dyDescent="0.4">
      <c r="A575">
        <v>574</v>
      </c>
      <c r="B575" t="s">
        <v>871</v>
      </c>
    </row>
    <row r="576" spans="1:2" x14ac:dyDescent="0.4">
      <c r="A576">
        <v>575</v>
      </c>
      <c r="B576" t="s">
        <v>872</v>
      </c>
    </row>
    <row r="577" spans="1:2" x14ac:dyDescent="0.4">
      <c r="A577">
        <v>576</v>
      </c>
      <c r="B577" t="s">
        <v>873</v>
      </c>
    </row>
    <row r="578" spans="1:2" x14ac:dyDescent="0.4">
      <c r="A578">
        <v>577</v>
      </c>
      <c r="B578" t="s">
        <v>874</v>
      </c>
    </row>
    <row r="579" spans="1:2" x14ac:dyDescent="0.4">
      <c r="A579">
        <v>578</v>
      </c>
      <c r="B579" t="s">
        <v>875</v>
      </c>
    </row>
    <row r="580" spans="1:2" x14ac:dyDescent="0.4">
      <c r="A580">
        <v>579</v>
      </c>
      <c r="B580" t="s">
        <v>876</v>
      </c>
    </row>
    <row r="581" spans="1:2" x14ac:dyDescent="0.4">
      <c r="A581">
        <v>580</v>
      </c>
      <c r="B581" t="s">
        <v>877</v>
      </c>
    </row>
    <row r="582" spans="1:2" x14ac:dyDescent="0.4">
      <c r="A582">
        <v>581</v>
      </c>
      <c r="B582" t="s">
        <v>878</v>
      </c>
    </row>
    <row r="583" spans="1:2" x14ac:dyDescent="0.4">
      <c r="A583">
        <v>582</v>
      </c>
      <c r="B583" t="s">
        <v>879</v>
      </c>
    </row>
    <row r="584" spans="1:2" x14ac:dyDescent="0.4">
      <c r="A584">
        <v>583</v>
      </c>
      <c r="B584" t="s">
        <v>880</v>
      </c>
    </row>
    <row r="585" spans="1:2" x14ac:dyDescent="0.4">
      <c r="A585">
        <v>584</v>
      </c>
      <c r="B585" t="s">
        <v>881</v>
      </c>
    </row>
    <row r="586" spans="1:2" x14ac:dyDescent="0.4">
      <c r="A586">
        <v>585</v>
      </c>
      <c r="B586" t="s">
        <v>882</v>
      </c>
    </row>
    <row r="587" spans="1:2" x14ac:dyDescent="0.4">
      <c r="A587">
        <v>99999998</v>
      </c>
      <c r="B587" t="s">
        <v>883</v>
      </c>
    </row>
    <row r="588" spans="1:2" x14ac:dyDescent="0.4">
      <c r="A588">
        <v>99999999</v>
      </c>
      <c r="B588" t="s">
        <v>884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731-A0D5-4FFE-83E1-F0D7D477E721}">
  <dimension ref="A1:B1054"/>
  <sheetViews>
    <sheetView topLeftCell="A1031" workbookViewId="0">
      <selection activeCell="A2" sqref="A2:B1055"/>
    </sheetView>
  </sheetViews>
  <sheetFormatPr defaultRowHeight="18.75" x14ac:dyDescent="0.4"/>
  <sheetData>
    <row r="1" spans="1:2" x14ac:dyDescent="0.4">
      <c r="A1" t="s">
        <v>7</v>
      </c>
      <c r="B1" t="s">
        <v>885</v>
      </c>
    </row>
    <row r="2" spans="1:2" x14ac:dyDescent="0.4">
      <c r="A2">
        <v>1</v>
      </c>
      <c r="B2" t="s">
        <v>2753</v>
      </c>
    </row>
    <row r="3" spans="1:2" x14ac:dyDescent="0.4">
      <c r="A3">
        <v>3</v>
      </c>
      <c r="B3" t="s">
        <v>2754</v>
      </c>
    </row>
    <row r="4" spans="1:2" x14ac:dyDescent="0.4">
      <c r="A4">
        <v>4</v>
      </c>
      <c r="B4" t="s">
        <v>2755</v>
      </c>
    </row>
    <row r="5" spans="1:2" x14ac:dyDescent="0.4">
      <c r="A5">
        <v>5</v>
      </c>
      <c r="B5" t="s">
        <v>2756</v>
      </c>
    </row>
    <row r="6" spans="1:2" x14ac:dyDescent="0.4">
      <c r="A6">
        <v>6</v>
      </c>
      <c r="B6" t="s">
        <v>2757</v>
      </c>
    </row>
    <row r="7" spans="1:2" x14ac:dyDescent="0.4">
      <c r="A7">
        <v>7</v>
      </c>
      <c r="B7" t="s">
        <v>2758</v>
      </c>
    </row>
    <row r="8" spans="1:2" x14ac:dyDescent="0.4">
      <c r="A8">
        <v>8</v>
      </c>
      <c r="B8" t="s">
        <v>2759</v>
      </c>
    </row>
    <row r="9" spans="1:2" x14ac:dyDescent="0.4">
      <c r="A9">
        <v>9</v>
      </c>
      <c r="B9" t="s">
        <v>719</v>
      </c>
    </row>
    <row r="10" spans="1:2" x14ac:dyDescent="0.4">
      <c r="A10">
        <v>10</v>
      </c>
      <c r="B10" t="s">
        <v>2059</v>
      </c>
    </row>
    <row r="11" spans="1:2" x14ac:dyDescent="0.4">
      <c r="A11">
        <v>11</v>
      </c>
      <c r="B11" t="s">
        <v>2060</v>
      </c>
    </row>
    <row r="12" spans="1:2" x14ac:dyDescent="0.4">
      <c r="A12">
        <v>12</v>
      </c>
      <c r="B12" t="s">
        <v>2061</v>
      </c>
    </row>
    <row r="13" spans="1:2" x14ac:dyDescent="0.4">
      <c r="A13">
        <v>13</v>
      </c>
      <c r="B13" t="s">
        <v>2062</v>
      </c>
    </row>
    <row r="14" spans="1:2" x14ac:dyDescent="0.4">
      <c r="A14">
        <v>14</v>
      </c>
      <c r="B14" t="s">
        <v>2760</v>
      </c>
    </row>
    <row r="15" spans="1:2" x14ac:dyDescent="0.4">
      <c r="A15">
        <v>15</v>
      </c>
      <c r="B15" t="s">
        <v>2063</v>
      </c>
    </row>
    <row r="16" spans="1:2" x14ac:dyDescent="0.4">
      <c r="A16">
        <v>16</v>
      </c>
      <c r="B16" t="s">
        <v>2064</v>
      </c>
    </row>
    <row r="17" spans="1:2" x14ac:dyDescent="0.4">
      <c r="A17">
        <v>17</v>
      </c>
      <c r="B17" t="s">
        <v>371</v>
      </c>
    </row>
    <row r="18" spans="1:2" x14ac:dyDescent="0.4">
      <c r="A18">
        <v>18</v>
      </c>
      <c r="B18" t="s">
        <v>2065</v>
      </c>
    </row>
    <row r="19" spans="1:2" x14ac:dyDescent="0.4">
      <c r="A19">
        <v>19</v>
      </c>
      <c r="B19" t="s">
        <v>2066</v>
      </c>
    </row>
    <row r="20" spans="1:2" x14ac:dyDescent="0.4">
      <c r="A20">
        <v>20</v>
      </c>
      <c r="B20" t="s">
        <v>2067</v>
      </c>
    </row>
    <row r="21" spans="1:2" x14ac:dyDescent="0.4">
      <c r="A21">
        <v>21</v>
      </c>
      <c r="B21" t="s">
        <v>2068</v>
      </c>
    </row>
    <row r="22" spans="1:2" x14ac:dyDescent="0.4">
      <c r="A22">
        <v>22</v>
      </c>
      <c r="B22" t="s">
        <v>2069</v>
      </c>
    </row>
    <row r="23" spans="1:2" x14ac:dyDescent="0.4">
      <c r="A23">
        <v>23</v>
      </c>
      <c r="B23" t="s">
        <v>691</v>
      </c>
    </row>
    <row r="24" spans="1:2" x14ac:dyDescent="0.4">
      <c r="A24">
        <v>24</v>
      </c>
      <c r="B24" t="s">
        <v>2070</v>
      </c>
    </row>
    <row r="25" spans="1:2" x14ac:dyDescent="0.4">
      <c r="A25">
        <v>25</v>
      </c>
      <c r="B25" t="s">
        <v>2071</v>
      </c>
    </row>
    <row r="26" spans="1:2" x14ac:dyDescent="0.4">
      <c r="A26">
        <v>26</v>
      </c>
      <c r="B26" t="s">
        <v>2072</v>
      </c>
    </row>
    <row r="27" spans="1:2" x14ac:dyDescent="0.4">
      <c r="A27">
        <v>27</v>
      </c>
      <c r="B27" t="s">
        <v>2073</v>
      </c>
    </row>
    <row r="28" spans="1:2" x14ac:dyDescent="0.4">
      <c r="A28">
        <v>28</v>
      </c>
      <c r="B28" t="s">
        <v>2074</v>
      </c>
    </row>
    <row r="29" spans="1:2" x14ac:dyDescent="0.4">
      <c r="A29">
        <v>29</v>
      </c>
      <c r="B29" t="s">
        <v>2075</v>
      </c>
    </row>
    <row r="30" spans="1:2" x14ac:dyDescent="0.4">
      <c r="A30">
        <v>30</v>
      </c>
      <c r="B30" t="s">
        <v>2076</v>
      </c>
    </row>
    <row r="31" spans="1:2" x14ac:dyDescent="0.4">
      <c r="A31">
        <v>31</v>
      </c>
      <c r="B31" t="s">
        <v>2077</v>
      </c>
    </row>
    <row r="32" spans="1:2" x14ac:dyDescent="0.4">
      <c r="A32">
        <v>32</v>
      </c>
      <c r="B32" t="s">
        <v>2761</v>
      </c>
    </row>
    <row r="33" spans="1:2" x14ac:dyDescent="0.4">
      <c r="A33">
        <v>33</v>
      </c>
      <c r="B33" t="s">
        <v>2078</v>
      </c>
    </row>
    <row r="34" spans="1:2" x14ac:dyDescent="0.4">
      <c r="A34">
        <v>34</v>
      </c>
      <c r="B34" t="s">
        <v>2079</v>
      </c>
    </row>
    <row r="35" spans="1:2" x14ac:dyDescent="0.4">
      <c r="A35">
        <v>35</v>
      </c>
      <c r="B35" t="s">
        <v>2080</v>
      </c>
    </row>
    <row r="36" spans="1:2" x14ac:dyDescent="0.4">
      <c r="A36">
        <v>36</v>
      </c>
      <c r="B36" t="s">
        <v>2081</v>
      </c>
    </row>
    <row r="37" spans="1:2" x14ac:dyDescent="0.4">
      <c r="A37">
        <v>37</v>
      </c>
      <c r="B37" t="s">
        <v>2082</v>
      </c>
    </row>
    <row r="38" spans="1:2" x14ac:dyDescent="0.4">
      <c r="A38">
        <v>38</v>
      </c>
      <c r="B38" t="s">
        <v>2083</v>
      </c>
    </row>
    <row r="39" spans="1:2" x14ac:dyDescent="0.4">
      <c r="A39">
        <v>39</v>
      </c>
      <c r="B39" t="s">
        <v>2084</v>
      </c>
    </row>
    <row r="40" spans="1:2" x14ac:dyDescent="0.4">
      <c r="A40">
        <v>40</v>
      </c>
      <c r="B40" t="s">
        <v>2085</v>
      </c>
    </row>
    <row r="41" spans="1:2" x14ac:dyDescent="0.4">
      <c r="A41">
        <v>41</v>
      </c>
      <c r="B41" t="s">
        <v>2086</v>
      </c>
    </row>
    <row r="42" spans="1:2" x14ac:dyDescent="0.4">
      <c r="A42">
        <v>42</v>
      </c>
      <c r="B42" t="s">
        <v>766</v>
      </c>
    </row>
    <row r="43" spans="1:2" x14ac:dyDescent="0.4">
      <c r="A43">
        <v>43</v>
      </c>
      <c r="B43" t="s">
        <v>2087</v>
      </c>
    </row>
    <row r="44" spans="1:2" x14ac:dyDescent="0.4">
      <c r="A44">
        <v>44</v>
      </c>
      <c r="B44" t="s">
        <v>2088</v>
      </c>
    </row>
    <row r="45" spans="1:2" x14ac:dyDescent="0.4">
      <c r="A45">
        <v>45</v>
      </c>
      <c r="B45" t="s">
        <v>2089</v>
      </c>
    </row>
    <row r="46" spans="1:2" x14ac:dyDescent="0.4">
      <c r="A46">
        <v>46</v>
      </c>
      <c r="B46" t="s">
        <v>2090</v>
      </c>
    </row>
    <row r="47" spans="1:2" x14ac:dyDescent="0.4">
      <c r="A47">
        <v>47</v>
      </c>
      <c r="B47" t="s">
        <v>2091</v>
      </c>
    </row>
    <row r="48" spans="1:2" x14ac:dyDescent="0.4">
      <c r="A48">
        <v>48</v>
      </c>
      <c r="B48" t="s">
        <v>2092</v>
      </c>
    </row>
    <row r="49" spans="1:2" x14ac:dyDescent="0.4">
      <c r="A49">
        <v>49</v>
      </c>
      <c r="B49" t="s">
        <v>2762</v>
      </c>
    </row>
    <row r="50" spans="1:2" x14ac:dyDescent="0.4">
      <c r="A50">
        <v>50</v>
      </c>
      <c r="B50" t="s">
        <v>2093</v>
      </c>
    </row>
    <row r="51" spans="1:2" x14ac:dyDescent="0.4">
      <c r="A51">
        <v>51</v>
      </c>
      <c r="B51" t="s">
        <v>2094</v>
      </c>
    </row>
    <row r="52" spans="1:2" x14ac:dyDescent="0.4">
      <c r="A52">
        <v>52</v>
      </c>
      <c r="B52" t="s">
        <v>2095</v>
      </c>
    </row>
    <row r="53" spans="1:2" x14ac:dyDescent="0.4">
      <c r="A53">
        <v>53</v>
      </c>
      <c r="B53" t="s">
        <v>2096</v>
      </c>
    </row>
    <row r="54" spans="1:2" x14ac:dyDescent="0.4">
      <c r="A54">
        <v>54</v>
      </c>
      <c r="B54" t="s">
        <v>461</v>
      </c>
    </row>
    <row r="55" spans="1:2" x14ac:dyDescent="0.4">
      <c r="A55">
        <v>55</v>
      </c>
      <c r="B55" t="s">
        <v>2097</v>
      </c>
    </row>
    <row r="56" spans="1:2" x14ac:dyDescent="0.4">
      <c r="A56">
        <v>56</v>
      </c>
      <c r="B56" t="s">
        <v>2098</v>
      </c>
    </row>
    <row r="57" spans="1:2" ht="27.75" x14ac:dyDescent="0.4">
      <c r="A57">
        <v>57</v>
      </c>
      <c r="B57" t="s" ph="1">
        <v>2099</v>
      </c>
    </row>
    <row r="58" spans="1:2" x14ac:dyDescent="0.4">
      <c r="A58">
        <v>58</v>
      </c>
      <c r="B58" t="s">
        <v>2763</v>
      </c>
    </row>
    <row r="59" spans="1:2" x14ac:dyDescent="0.4">
      <c r="A59">
        <v>59</v>
      </c>
      <c r="B59" t="s">
        <v>2764</v>
      </c>
    </row>
    <row r="60" spans="1:2" x14ac:dyDescent="0.4">
      <c r="A60">
        <v>60</v>
      </c>
      <c r="B60" t="s">
        <v>2100</v>
      </c>
    </row>
    <row r="61" spans="1:2" x14ac:dyDescent="0.4">
      <c r="A61">
        <v>61</v>
      </c>
      <c r="B61" t="s">
        <v>2101</v>
      </c>
    </row>
    <row r="62" spans="1:2" x14ac:dyDescent="0.4">
      <c r="A62">
        <v>62</v>
      </c>
      <c r="B62" t="s">
        <v>466</v>
      </c>
    </row>
    <row r="63" spans="1:2" x14ac:dyDescent="0.4">
      <c r="A63">
        <v>63</v>
      </c>
      <c r="B63" t="s">
        <v>2102</v>
      </c>
    </row>
    <row r="64" spans="1:2" x14ac:dyDescent="0.4">
      <c r="A64">
        <v>64</v>
      </c>
      <c r="B64" t="s">
        <v>2765</v>
      </c>
    </row>
    <row r="65" spans="1:2" x14ac:dyDescent="0.4">
      <c r="A65">
        <v>65</v>
      </c>
      <c r="B65" t="s">
        <v>2766</v>
      </c>
    </row>
    <row r="66" spans="1:2" x14ac:dyDescent="0.4">
      <c r="A66">
        <v>66</v>
      </c>
      <c r="B66" t="s">
        <v>2103</v>
      </c>
    </row>
    <row r="67" spans="1:2" x14ac:dyDescent="0.4">
      <c r="A67">
        <v>67</v>
      </c>
      <c r="B67" t="s">
        <v>2767</v>
      </c>
    </row>
    <row r="68" spans="1:2" x14ac:dyDescent="0.4">
      <c r="A68">
        <v>68</v>
      </c>
      <c r="B68" t="s">
        <v>2768</v>
      </c>
    </row>
    <row r="69" spans="1:2" x14ac:dyDescent="0.4">
      <c r="A69">
        <v>69</v>
      </c>
      <c r="B69" t="s">
        <v>520</v>
      </c>
    </row>
    <row r="70" spans="1:2" x14ac:dyDescent="0.4">
      <c r="A70">
        <v>70</v>
      </c>
      <c r="B70" t="s">
        <v>2104</v>
      </c>
    </row>
    <row r="71" spans="1:2" x14ac:dyDescent="0.4">
      <c r="A71">
        <v>71</v>
      </c>
      <c r="B71" t="s">
        <v>2105</v>
      </c>
    </row>
    <row r="72" spans="1:2" x14ac:dyDescent="0.4">
      <c r="A72">
        <v>72</v>
      </c>
      <c r="B72" t="s">
        <v>2106</v>
      </c>
    </row>
    <row r="73" spans="1:2" x14ac:dyDescent="0.4">
      <c r="A73">
        <v>73</v>
      </c>
      <c r="B73" t="s">
        <v>2107</v>
      </c>
    </row>
    <row r="74" spans="1:2" x14ac:dyDescent="0.4">
      <c r="A74">
        <v>74</v>
      </c>
      <c r="B74" t="s">
        <v>2108</v>
      </c>
    </row>
    <row r="75" spans="1:2" x14ac:dyDescent="0.4">
      <c r="A75">
        <v>75</v>
      </c>
      <c r="B75" t="s">
        <v>620</v>
      </c>
    </row>
    <row r="76" spans="1:2" x14ac:dyDescent="0.4">
      <c r="A76">
        <v>76</v>
      </c>
      <c r="B76" t="s">
        <v>2109</v>
      </c>
    </row>
    <row r="77" spans="1:2" x14ac:dyDescent="0.4">
      <c r="A77">
        <v>78</v>
      </c>
      <c r="B77" t="s">
        <v>2110</v>
      </c>
    </row>
    <row r="78" spans="1:2" x14ac:dyDescent="0.4">
      <c r="A78">
        <v>79</v>
      </c>
      <c r="B78" t="s">
        <v>2769</v>
      </c>
    </row>
    <row r="79" spans="1:2" x14ac:dyDescent="0.4">
      <c r="A79">
        <v>80</v>
      </c>
      <c r="B79" t="s">
        <v>2111</v>
      </c>
    </row>
    <row r="80" spans="1:2" x14ac:dyDescent="0.4">
      <c r="A80">
        <v>81</v>
      </c>
      <c r="B80" t="s">
        <v>2112</v>
      </c>
    </row>
    <row r="81" spans="1:2" x14ac:dyDescent="0.4">
      <c r="A81">
        <v>82</v>
      </c>
      <c r="B81" t="s">
        <v>567</v>
      </c>
    </row>
    <row r="82" spans="1:2" x14ac:dyDescent="0.4">
      <c r="A82">
        <v>83</v>
      </c>
      <c r="B82" t="s">
        <v>2113</v>
      </c>
    </row>
    <row r="83" spans="1:2" x14ac:dyDescent="0.4">
      <c r="A83">
        <v>84</v>
      </c>
      <c r="B83" t="s">
        <v>2770</v>
      </c>
    </row>
    <row r="84" spans="1:2" x14ac:dyDescent="0.4">
      <c r="A84">
        <v>85</v>
      </c>
      <c r="B84" t="s">
        <v>2114</v>
      </c>
    </row>
    <row r="85" spans="1:2" x14ac:dyDescent="0.4">
      <c r="A85">
        <v>86</v>
      </c>
      <c r="B85" t="s">
        <v>532</v>
      </c>
    </row>
    <row r="86" spans="1:2" x14ac:dyDescent="0.4">
      <c r="A86">
        <v>87</v>
      </c>
      <c r="B86" t="s">
        <v>2115</v>
      </c>
    </row>
    <row r="87" spans="1:2" x14ac:dyDescent="0.4">
      <c r="A87">
        <v>88</v>
      </c>
      <c r="B87" t="s">
        <v>2116</v>
      </c>
    </row>
    <row r="88" spans="1:2" x14ac:dyDescent="0.4">
      <c r="A88">
        <v>90</v>
      </c>
      <c r="B88" t="s">
        <v>2117</v>
      </c>
    </row>
    <row r="89" spans="1:2" x14ac:dyDescent="0.4">
      <c r="A89">
        <v>91</v>
      </c>
      <c r="B89" t="s">
        <v>622</v>
      </c>
    </row>
    <row r="90" spans="1:2" x14ac:dyDescent="0.4">
      <c r="A90">
        <v>93</v>
      </c>
      <c r="B90" t="s">
        <v>2118</v>
      </c>
    </row>
    <row r="91" spans="1:2" x14ac:dyDescent="0.4">
      <c r="A91">
        <v>94</v>
      </c>
      <c r="B91" t="s">
        <v>2119</v>
      </c>
    </row>
    <row r="92" spans="1:2" x14ac:dyDescent="0.4">
      <c r="A92">
        <v>95</v>
      </c>
      <c r="B92" t="s">
        <v>2771</v>
      </c>
    </row>
    <row r="93" spans="1:2" x14ac:dyDescent="0.4">
      <c r="A93">
        <v>96</v>
      </c>
      <c r="B93" t="s">
        <v>760</v>
      </c>
    </row>
    <row r="94" spans="1:2" x14ac:dyDescent="0.4">
      <c r="A94">
        <v>97</v>
      </c>
      <c r="B94" t="s">
        <v>2120</v>
      </c>
    </row>
    <row r="95" spans="1:2" x14ac:dyDescent="0.4">
      <c r="A95">
        <v>99</v>
      </c>
      <c r="B95" t="s">
        <v>2121</v>
      </c>
    </row>
    <row r="96" spans="1:2" x14ac:dyDescent="0.4">
      <c r="A96">
        <v>101</v>
      </c>
      <c r="B96" t="s">
        <v>2122</v>
      </c>
    </row>
    <row r="97" spans="1:2" x14ac:dyDescent="0.4">
      <c r="A97">
        <v>102</v>
      </c>
      <c r="B97" t="s">
        <v>2772</v>
      </c>
    </row>
    <row r="98" spans="1:2" x14ac:dyDescent="0.4">
      <c r="A98">
        <v>103</v>
      </c>
      <c r="B98" t="s">
        <v>2123</v>
      </c>
    </row>
    <row r="99" spans="1:2" x14ac:dyDescent="0.4">
      <c r="A99">
        <v>104</v>
      </c>
      <c r="B99" t="s">
        <v>746</v>
      </c>
    </row>
    <row r="100" spans="1:2" x14ac:dyDescent="0.4">
      <c r="A100">
        <v>105</v>
      </c>
      <c r="B100" t="s">
        <v>2124</v>
      </c>
    </row>
    <row r="101" spans="1:2" x14ac:dyDescent="0.4">
      <c r="A101">
        <v>106</v>
      </c>
      <c r="B101" t="s">
        <v>2125</v>
      </c>
    </row>
    <row r="102" spans="1:2" x14ac:dyDescent="0.4">
      <c r="A102">
        <v>107</v>
      </c>
      <c r="B102" t="s">
        <v>2126</v>
      </c>
    </row>
    <row r="103" spans="1:2" x14ac:dyDescent="0.4">
      <c r="A103">
        <v>108</v>
      </c>
      <c r="B103" t="s">
        <v>2127</v>
      </c>
    </row>
    <row r="104" spans="1:2" x14ac:dyDescent="0.4">
      <c r="A104">
        <v>109</v>
      </c>
      <c r="B104" t="s">
        <v>2128</v>
      </c>
    </row>
    <row r="105" spans="1:2" x14ac:dyDescent="0.4">
      <c r="A105">
        <v>110</v>
      </c>
      <c r="B105" t="s">
        <v>2129</v>
      </c>
    </row>
    <row r="106" spans="1:2" x14ac:dyDescent="0.4">
      <c r="A106">
        <v>111</v>
      </c>
      <c r="B106" t="s">
        <v>2130</v>
      </c>
    </row>
    <row r="107" spans="1:2" x14ac:dyDescent="0.4">
      <c r="A107">
        <v>112</v>
      </c>
      <c r="B107" t="s">
        <v>2131</v>
      </c>
    </row>
    <row r="108" spans="1:2" x14ac:dyDescent="0.4">
      <c r="A108">
        <v>113</v>
      </c>
      <c r="B108" t="s">
        <v>2773</v>
      </c>
    </row>
    <row r="109" spans="1:2" x14ac:dyDescent="0.4">
      <c r="A109">
        <v>114</v>
      </c>
      <c r="B109" t="s">
        <v>822</v>
      </c>
    </row>
    <row r="110" spans="1:2" x14ac:dyDescent="0.4">
      <c r="A110">
        <v>115</v>
      </c>
      <c r="B110" t="s">
        <v>2774</v>
      </c>
    </row>
    <row r="111" spans="1:2" x14ac:dyDescent="0.4">
      <c r="A111">
        <v>116</v>
      </c>
      <c r="B111" t="s">
        <v>2132</v>
      </c>
    </row>
    <row r="112" spans="1:2" x14ac:dyDescent="0.4">
      <c r="A112">
        <v>117</v>
      </c>
      <c r="B112" t="s">
        <v>2133</v>
      </c>
    </row>
    <row r="113" spans="1:2" x14ac:dyDescent="0.4">
      <c r="A113">
        <v>118</v>
      </c>
      <c r="B113" t="s">
        <v>2775</v>
      </c>
    </row>
    <row r="114" spans="1:2" x14ac:dyDescent="0.4">
      <c r="A114">
        <v>119</v>
      </c>
      <c r="B114" t="s">
        <v>2134</v>
      </c>
    </row>
    <row r="115" spans="1:2" x14ac:dyDescent="0.4">
      <c r="A115">
        <v>120</v>
      </c>
      <c r="B115" t="s">
        <v>2135</v>
      </c>
    </row>
    <row r="116" spans="1:2" x14ac:dyDescent="0.4">
      <c r="A116">
        <v>121</v>
      </c>
      <c r="B116" t="s">
        <v>2136</v>
      </c>
    </row>
    <row r="117" spans="1:2" x14ac:dyDescent="0.4">
      <c r="A117">
        <v>122</v>
      </c>
      <c r="B117" t="s">
        <v>2137</v>
      </c>
    </row>
    <row r="118" spans="1:2" x14ac:dyDescent="0.4">
      <c r="A118">
        <v>123</v>
      </c>
      <c r="B118" t="s">
        <v>2138</v>
      </c>
    </row>
    <row r="119" spans="1:2" x14ac:dyDescent="0.4">
      <c r="A119">
        <v>125</v>
      </c>
      <c r="B119" t="s">
        <v>798</v>
      </c>
    </row>
    <row r="120" spans="1:2" x14ac:dyDescent="0.4">
      <c r="A120">
        <v>126</v>
      </c>
      <c r="B120" t="s">
        <v>2139</v>
      </c>
    </row>
    <row r="121" spans="1:2" x14ac:dyDescent="0.4">
      <c r="A121">
        <v>127</v>
      </c>
      <c r="B121" t="s">
        <v>2140</v>
      </c>
    </row>
    <row r="122" spans="1:2" x14ac:dyDescent="0.4">
      <c r="A122">
        <v>128</v>
      </c>
      <c r="B122" t="s">
        <v>2141</v>
      </c>
    </row>
    <row r="123" spans="1:2" x14ac:dyDescent="0.4">
      <c r="A123">
        <v>129</v>
      </c>
      <c r="B123" t="s">
        <v>625</v>
      </c>
    </row>
    <row r="124" spans="1:2" x14ac:dyDescent="0.4">
      <c r="A124">
        <v>130</v>
      </c>
      <c r="B124" t="s">
        <v>2142</v>
      </c>
    </row>
    <row r="125" spans="1:2" x14ac:dyDescent="0.4">
      <c r="A125">
        <v>131</v>
      </c>
      <c r="B125" t="s">
        <v>2143</v>
      </c>
    </row>
    <row r="126" spans="1:2" x14ac:dyDescent="0.4">
      <c r="A126">
        <v>132</v>
      </c>
      <c r="B126" t="s">
        <v>2144</v>
      </c>
    </row>
    <row r="127" spans="1:2" x14ac:dyDescent="0.4">
      <c r="A127">
        <v>133</v>
      </c>
      <c r="B127" t="s">
        <v>2776</v>
      </c>
    </row>
    <row r="128" spans="1:2" x14ac:dyDescent="0.4">
      <c r="A128">
        <v>134</v>
      </c>
      <c r="B128" t="s">
        <v>2145</v>
      </c>
    </row>
    <row r="129" spans="1:2" x14ac:dyDescent="0.4">
      <c r="A129">
        <v>135</v>
      </c>
      <c r="B129" t="s">
        <v>2146</v>
      </c>
    </row>
    <row r="130" spans="1:2" x14ac:dyDescent="0.4">
      <c r="A130">
        <v>136</v>
      </c>
      <c r="B130" t="s">
        <v>2147</v>
      </c>
    </row>
    <row r="131" spans="1:2" x14ac:dyDescent="0.4">
      <c r="A131">
        <v>137</v>
      </c>
      <c r="B131" t="s">
        <v>384</v>
      </c>
    </row>
    <row r="132" spans="1:2" x14ac:dyDescent="0.4">
      <c r="A132">
        <v>138</v>
      </c>
      <c r="B132" t="s">
        <v>2148</v>
      </c>
    </row>
    <row r="133" spans="1:2" x14ac:dyDescent="0.4">
      <c r="A133">
        <v>140</v>
      </c>
      <c r="B133" t="s">
        <v>2149</v>
      </c>
    </row>
    <row r="134" spans="1:2" x14ac:dyDescent="0.4">
      <c r="A134">
        <v>141</v>
      </c>
      <c r="B134" t="s">
        <v>2150</v>
      </c>
    </row>
    <row r="135" spans="1:2" x14ac:dyDescent="0.4">
      <c r="A135">
        <v>142</v>
      </c>
      <c r="B135" t="s">
        <v>2151</v>
      </c>
    </row>
    <row r="136" spans="1:2" x14ac:dyDescent="0.4">
      <c r="A136">
        <v>143</v>
      </c>
      <c r="B136" t="s">
        <v>2152</v>
      </c>
    </row>
    <row r="137" spans="1:2" x14ac:dyDescent="0.4">
      <c r="A137">
        <v>144</v>
      </c>
      <c r="B137" t="s">
        <v>2153</v>
      </c>
    </row>
    <row r="138" spans="1:2" x14ac:dyDescent="0.4">
      <c r="A138">
        <v>145</v>
      </c>
      <c r="B138" t="s">
        <v>401</v>
      </c>
    </row>
    <row r="139" spans="1:2" x14ac:dyDescent="0.4">
      <c r="A139">
        <v>146</v>
      </c>
      <c r="B139" t="s">
        <v>2777</v>
      </c>
    </row>
    <row r="140" spans="1:2" x14ac:dyDescent="0.4">
      <c r="A140">
        <v>147</v>
      </c>
      <c r="B140" t="s">
        <v>2154</v>
      </c>
    </row>
    <row r="141" spans="1:2" x14ac:dyDescent="0.4">
      <c r="A141">
        <v>148</v>
      </c>
      <c r="B141" t="s">
        <v>2155</v>
      </c>
    </row>
    <row r="142" spans="1:2" x14ac:dyDescent="0.4">
      <c r="A142">
        <v>149</v>
      </c>
      <c r="B142" t="s">
        <v>2778</v>
      </c>
    </row>
    <row r="143" spans="1:2" x14ac:dyDescent="0.4">
      <c r="A143">
        <v>150</v>
      </c>
      <c r="B143" t="s">
        <v>2779</v>
      </c>
    </row>
    <row r="144" spans="1:2" x14ac:dyDescent="0.4">
      <c r="A144">
        <v>151</v>
      </c>
      <c r="B144" t="s">
        <v>2156</v>
      </c>
    </row>
    <row r="145" spans="1:2" x14ac:dyDescent="0.4">
      <c r="A145">
        <v>152</v>
      </c>
      <c r="B145" t="s">
        <v>2157</v>
      </c>
    </row>
    <row r="146" spans="1:2" x14ac:dyDescent="0.4">
      <c r="A146">
        <v>153</v>
      </c>
      <c r="B146" t="s">
        <v>2158</v>
      </c>
    </row>
    <row r="147" spans="1:2" x14ac:dyDescent="0.4">
      <c r="A147">
        <v>154</v>
      </c>
      <c r="B147" t="s">
        <v>2159</v>
      </c>
    </row>
    <row r="148" spans="1:2" x14ac:dyDescent="0.4">
      <c r="A148">
        <v>155</v>
      </c>
      <c r="B148" t="s">
        <v>2160</v>
      </c>
    </row>
    <row r="149" spans="1:2" x14ac:dyDescent="0.4">
      <c r="A149">
        <v>156</v>
      </c>
      <c r="B149" t="s">
        <v>2161</v>
      </c>
    </row>
    <row r="150" spans="1:2" x14ac:dyDescent="0.4">
      <c r="A150">
        <v>157</v>
      </c>
      <c r="B150" t="s">
        <v>2162</v>
      </c>
    </row>
    <row r="151" spans="1:2" x14ac:dyDescent="0.4">
      <c r="A151">
        <v>158</v>
      </c>
      <c r="B151" t="s">
        <v>2163</v>
      </c>
    </row>
    <row r="152" spans="1:2" x14ac:dyDescent="0.4">
      <c r="A152">
        <v>159</v>
      </c>
      <c r="B152" t="s">
        <v>2164</v>
      </c>
    </row>
    <row r="153" spans="1:2" x14ac:dyDescent="0.4">
      <c r="A153">
        <v>160</v>
      </c>
      <c r="B153" t="s">
        <v>536</v>
      </c>
    </row>
    <row r="154" spans="1:2" x14ac:dyDescent="0.4">
      <c r="A154">
        <v>161</v>
      </c>
      <c r="B154" t="s">
        <v>2780</v>
      </c>
    </row>
    <row r="155" spans="1:2" x14ac:dyDescent="0.4">
      <c r="A155">
        <v>162</v>
      </c>
      <c r="B155" t="s">
        <v>2165</v>
      </c>
    </row>
    <row r="156" spans="1:2" x14ac:dyDescent="0.4">
      <c r="A156">
        <v>163</v>
      </c>
      <c r="B156" t="s">
        <v>2166</v>
      </c>
    </row>
    <row r="157" spans="1:2" x14ac:dyDescent="0.4">
      <c r="A157">
        <v>164</v>
      </c>
      <c r="B157" t="s">
        <v>2167</v>
      </c>
    </row>
    <row r="158" spans="1:2" x14ac:dyDescent="0.4">
      <c r="A158">
        <v>165</v>
      </c>
      <c r="B158" t="s">
        <v>2168</v>
      </c>
    </row>
    <row r="159" spans="1:2" x14ac:dyDescent="0.4">
      <c r="A159">
        <v>166</v>
      </c>
      <c r="B159" t="s">
        <v>2169</v>
      </c>
    </row>
    <row r="160" spans="1:2" x14ac:dyDescent="0.4">
      <c r="A160">
        <v>167</v>
      </c>
      <c r="B160" t="s">
        <v>2170</v>
      </c>
    </row>
    <row r="161" spans="1:2" x14ac:dyDescent="0.4">
      <c r="A161">
        <v>168</v>
      </c>
      <c r="B161" t="s">
        <v>2171</v>
      </c>
    </row>
    <row r="162" spans="1:2" x14ac:dyDescent="0.4">
      <c r="A162">
        <v>169</v>
      </c>
      <c r="B162" t="s">
        <v>2781</v>
      </c>
    </row>
    <row r="163" spans="1:2" x14ac:dyDescent="0.4">
      <c r="A163">
        <v>170</v>
      </c>
      <c r="B163" t="s">
        <v>2172</v>
      </c>
    </row>
    <row r="164" spans="1:2" x14ac:dyDescent="0.4">
      <c r="A164">
        <v>171</v>
      </c>
      <c r="B164" t="s">
        <v>2173</v>
      </c>
    </row>
    <row r="165" spans="1:2" x14ac:dyDescent="0.4">
      <c r="A165">
        <v>172</v>
      </c>
      <c r="B165" t="s">
        <v>2174</v>
      </c>
    </row>
    <row r="166" spans="1:2" x14ac:dyDescent="0.4">
      <c r="A166">
        <v>173</v>
      </c>
      <c r="B166" t="s">
        <v>2782</v>
      </c>
    </row>
    <row r="167" spans="1:2" x14ac:dyDescent="0.4">
      <c r="A167">
        <v>174</v>
      </c>
      <c r="B167" t="s">
        <v>2175</v>
      </c>
    </row>
    <row r="168" spans="1:2" x14ac:dyDescent="0.4">
      <c r="A168">
        <v>175</v>
      </c>
      <c r="B168" t="s">
        <v>2176</v>
      </c>
    </row>
    <row r="169" spans="1:2" x14ac:dyDescent="0.4">
      <c r="A169">
        <v>176</v>
      </c>
      <c r="B169" t="s">
        <v>2177</v>
      </c>
    </row>
    <row r="170" spans="1:2" x14ac:dyDescent="0.4">
      <c r="A170">
        <v>177</v>
      </c>
      <c r="B170" t="s">
        <v>2178</v>
      </c>
    </row>
    <row r="171" spans="1:2" x14ac:dyDescent="0.4">
      <c r="A171">
        <v>178</v>
      </c>
      <c r="B171" t="s">
        <v>2783</v>
      </c>
    </row>
    <row r="172" spans="1:2" x14ac:dyDescent="0.4">
      <c r="A172">
        <v>179</v>
      </c>
      <c r="B172" t="s">
        <v>2179</v>
      </c>
    </row>
    <row r="173" spans="1:2" x14ac:dyDescent="0.4">
      <c r="A173">
        <v>180</v>
      </c>
      <c r="B173" t="s">
        <v>2180</v>
      </c>
    </row>
    <row r="174" spans="1:2" x14ac:dyDescent="0.4">
      <c r="A174">
        <v>181</v>
      </c>
      <c r="B174" t="s">
        <v>670</v>
      </c>
    </row>
    <row r="175" spans="1:2" x14ac:dyDescent="0.4">
      <c r="A175">
        <v>182</v>
      </c>
      <c r="B175" t="s">
        <v>815</v>
      </c>
    </row>
    <row r="176" spans="1:2" x14ac:dyDescent="0.4">
      <c r="A176">
        <v>183</v>
      </c>
      <c r="B176" t="s">
        <v>2181</v>
      </c>
    </row>
    <row r="177" spans="1:2" x14ac:dyDescent="0.4">
      <c r="A177">
        <v>184</v>
      </c>
      <c r="B177" t="s">
        <v>2182</v>
      </c>
    </row>
    <row r="178" spans="1:2" x14ac:dyDescent="0.4">
      <c r="A178">
        <v>185</v>
      </c>
      <c r="B178" t="s">
        <v>2183</v>
      </c>
    </row>
    <row r="179" spans="1:2" x14ac:dyDescent="0.4">
      <c r="A179">
        <v>186</v>
      </c>
      <c r="B179" t="s">
        <v>2184</v>
      </c>
    </row>
    <row r="180" spans="1:2" x14ac:dyDescent="0.4">
      <c r="A180">
        <v>187</v>
      </c>
      <c r="B180" t="s">
        <v>2185</v>
      </c>
    </row>
    <row r="181" spans="1:2" x14ac:dyDescent="0.4">
      <c r="A181">
        <v>188</v>
      </c>
      <c r="B181" t="s">
        <v>2186</v>
      </c>
    </row>
    <row r="182" spans="1:2" x14ac:dyDescent="0.4">
      <c r="A182">
        <v>189</v>
      </c>
      <c r="B182" t="s">
        <v>2187</v>
      </c>
    </row>
    <row r="183" spans="1:2" x14ac:dyDescent="0.4">
      <c r="A183">
        <v>190</v>
      </c>
      <c r="B183" t="s">
        <v>2188</v>
      </c>
    </row>
    <row r="184" spans="1:2" x14ac:dyDescent="0.4">
      <c r="A184">
        <v>191</v>
      </c>
      <c r="B184" t="s">
        <v>2189</v>
      </c>
    </row>
    <row r="185" spans="1:2" x14ac:dyDescent="0.4">
      <c r="A185">
        <v>192</v>
      </c>
      <c r="B185" t="s">
        <v>2190</v>
      </c>
    </row>
    <row r="186" spans="1:2" x14ac:dyDescent="0.4">
      <c r="A186">
        <v>193</v>
      </c>
      <c r="B186" t="s">
        <v>2784</v>
      </c>
    </row>
    <row r="187" spans="1:2" x14ac:dyDescent="0.4">
      <c r="A187">
        <v>194</v>
      </c>
      <c r="B187" t="s">
        <v>2785</v>
      </c>
    </row>
    <row r="188" spans="1:2" x14ac:dyDescent="0.4">
      <c r="A188">
        <v>195</v>
      </c>
      <c r="B188" t="s">
        <v>2191</v>
      </c>
    </row>
    <row r="189" spans="1:2" x14ac:dyDescent="0.4">
      <c r="A189">
        <v>196</v>
      </c>
      <c r="B189" t="s">
        <v>2786</v>
      </c>
    </row>
    <row r="190" spans="1:2" x14ac:dyDescent="0.4">
      <c r="A190">
        <v>198</v>
      </c>
      <c r="B190" t="s">
        <v>2192</v>
      </c>
    </row>
    <row r="191" spans="1:2" x14ac:dyDescent="0.4">
      <c r="A191">
        <v>199</v>
      </c>
      <c r="B191" t="s">
        <v>2787</v>
      </c>
    </row>
    <row r="192" spans="1:2" x14ac:dyDescent="0.4">
      <c r="A192">
        <v>200</v>
      </c>
      <c r="B192" t="s">
        <v>2193</v>
      </c>
    </row>
    <row r="193" spans="1:2" x14ac:dyDescent="0.4">
      <c r="A193">
        <v>202</v>
      </c>
      <c r="B193" t="s">
        <v>534</v>
      </c>
    </row>
    <row r="194" spans="1:2" x14ac:dyDescent="0.4">
      <c r="A194">
        <v>203</v>
      </c>
      <c r="B194" t="s">
        <v>2194</v>
      </c>
    </row>
    <row r="195" spans="1:2" x14ac:dyDescent="0.4">
      <c r="A195">
        <v>204</v>
      </c>
      <c r="B195" t="s">
        <v>436</v>
      </c>
    </row>
    <row r="196" spans="1:2" x14ac:dyDescent="0.4">
      <c r="A196">
        <v>205</v>
      </c>
      <c r="B196" t="s">
        <v>2195</v>
      </c>
    </row>
    <row r="197" spans="1:2" x14ac:dyDescent="0.4">
      <c r="A197">
        <v>206</v>
      </c>
      <c r="B197" t="s">
        <v>2196</v>
      </c>
    </row>
    <row r="198" spans="1:2" x14ac:dyDescent="0.4">
      <c r="A198">
        <v>207</v>
      </c>
      <c r="B198" t="s">
        <v>2197</v>
      </c>
    </row>
    <row r="199" spans="1:2" x14ac:dyDescent="0.4">
      <c r="A199">
        <v>208</v>
      </c>
      <c r="B199" t="s">
        <v>752</v>
      </c>
    </row>
    <row r="200" spans="1:2" x14ac:dyDescent="0.4">
      <c r="A200">
        <v>209</v>
      </c>
      <c r="B200" t="s">
        <v>2198</v>
      </c>
    </row>
    <row r="201" spans="1:2" x14ac:dyDescent="0.4">
      <c r="A201">
        <v>210</v>
      </c>
      <c r="B201" t="s">
        <v>2199</v>
      </c>
    </row>
    <row r="202" spans="1:2" x14ac:dyDescent="0.4">
      <c r="A202">
        <v>211</v>
      </c>
      <c r="B202" t="s">
        <v>2200</v>
      </c>
    </row>
    <row r="203" spans="1:2" x14ac:dyDescent="0.4">
      <c r="A203">
        <v>212</v>
      </c>
      <c r="B203" t="s">
        <v>2201</v>
      </c>
    </row>
    <row r="204" spans="1:2" x14ac:dyDescent="0.4">
      <c r="A204">
        <v>213</v>
      </c>
      <c r="B204" t="s">
        <v>2202</v>
      </c>
    </row>
    <row r="205" spans="1:2" x14ac:dyDescent="0.4">
      <c r="A205">
        <v>214</v>
      </c>
      <c r="B205" t="s">
        <v>2203</v>
      </c>
    </row>
    <row r="206" spans="1:2" x14ac:dyDescent="0.4">
      <c r="A206">
        <v>215</v>
      </c>
      <c r="B206" t="s">
        <v>2204</v>
      </c>
    </row>
    <row r="207" spans="1:2" x14ac:dyDescent="0.4">
      <c r="A207">
        <v>216</v>
      </c>
      <c r="B207" t="s">
        <v>2205</v>
      </c>
    </row>
    <row r="208" spans="1:2" x14ac:dyDescent="0.4">
      <c r="A208">
        <v>217</v>
      </c>
      <c r="B208" t="s">
        <v>2206</v>
      </c>
    </row>
    <row r="209" spans="1:2" x14ac:dyDescent="0.4">
      <c r="A209">
        <v>218</v>
      </c>
      <c r="B209" t="s">
        <v>2207</v>
      </c>
    </row>
    <row r="210" spans="1:2" x14ac:dyDescent="0.4">
      <c r="A210">
        <v>219</v>
      </c>
      <c r="B210" t="s">
        <v>2208</v>
      </c>
    </row>
    <row r="211" spans="1:2" x14ac:dyDescent="0.4">
      <c r="A211">
        <v>220</v>
      </c>
      <c r="B211" t="s">
        <v>2209</v>
      </c>
    </row>
    <row r="212" spans="1:2" x14ac:dyDescent="0.4">
      <c r="A212">
        <v>221</v>
      </c>
      <c r="B212" t="s">
        <v>799</v>
      </c>
    </row>
    <row r="213" spans="1:2" x14ac:dyDescent="0.4">
      <c r="A213">
        <v>222</v>
      </c>
      <c r="B213" t="s">
        <v>2210</v>
      </c>
    </row>
    <row r="214" spans="1:2" x14ac:dyDescent="0.4">
      <c r="A214">
        <v>223</v>
      </c>
      <c r="B214" t="s">
        <v>2211</v>
      </c>
    </row>
    <row r="215" spans="1:2" x14ac:dyDescent="0.4">
      <c r="A215">
        <v>224</v>
      </c>
      <c r="B215" t="s">
        <v>2212</v>
      </c>
    </row>
    <row r="216" spans="1:2" x14ac:dyDescent="0.4">
      <c r="A216">
        <v>225</v>
      </c>
      <c r="B216" t="s">
        <v>2213</v>
      </c>
    </row>
    <row r="217" spans="1:2" x14ac:dyDescent="0.4">
      <c r="A217">
        <v>226</v>
      </c>
      <c r="B217" t="s">
        <v>2214</v>
      </c>
    </row>
    <row r="218" spans="1:2" x14ac:dyDescent="0.4">
      <c r="A218">
        <v>228</v>
      </c>
      <c r="B218" t="s">
        <v>2215</v>
      </c>
    </row>
    <row r="219" spans="1:2" x14ac:dyDescent="0.4">
      <c r="A219">
        <v>229</v>
      </c>
      <c r="B219" t="s">
        <v>2216</v>
      </c>
    </row>
    <row r="220" spans="1:2" x14ac:dyDescent="0.4">
      <c r="A220">
        <v>230</v>
      </c>
      <c r="B220" t="s">
        <v>453</v>
      </c>
    </row>
    <row r="221" spans="1:2" x14ac:dyDescent="0.4">
      <c r="A221">
        <v>231</v>
      </c>
      <c r="B221" t="s">
        <v>2217</v>
      </c>
    </row>
    <row r="222" spans="1:2" x14ac:dyDescent="0.4">
      <c r="A222">
        <v>232</v>
      </c>
      <c r="B222" t="s">
        <v>2218</v>
      </c>
    </row>
    <row r="223" spans="1:2" x14ac:dyDescent="0.4">
      <c r="A223">
        <v>233</v>
      </c>
      <c r="B223" t="s">
        <v>820</v>
      </c>
    </row>
    <row r="224" spans="1:2" x14ac:dyDescent="0.4">
      <c r="A224">
        <v>234</v>
      </c>
      <c r="B224" t="s">
        <v>2219</v>
      </c>
    </row>
    <row r="225" spans="1:2" x14ac:dyDescent="0.4">
      <c r="A225">
        <v>236</v>
      </c>
      <c r="B225" t="s">
        <v>710</v>
      </c>
    </row>
    <row r="226" spans="1:2" x14ac:dyDescent="0.4">
      <c r="A226">
        <v>237</v>
      </c>
      <c r="B226" t="s">
        <v>2220</v>
      </c>
    </row>
    <row r="227" spans="1:2" x14ac:dyDescent="0.4">
      <c r="A227">
        <v>238</v>
      </c>
      <c r="B227" t="s">
        <v>2788</v>
      </c>
    </row>
    <row r="228" spans="1:2" x14ac:dyDescent="0.4">
      <c r="A228">
        <v>239</v>
      </c>
      <c r="B228" t="s">
        <v>678</v>
      </c>
    </row>
    <row r="229" spans="1:2" x14ac:dyDescent="0.4">
      <c r="A229">
        <v>240</v>
      </c>
      <c r="B229" t="s">
        <v>2221</v>
      </c>
    </row>
    <row r="230" spans="1:2" x14ac:dyDescent="0.4">
      <c r="A230">
        <v>245</v>
      </c>
      <c r="B230" t="s">
        <v>2222</v>
      </c>
    </row>
    <row r="231" spans="1:2" x14ac:dyDescent="0.4">
      <c r="A231">
        <v>246</v>
      </c>
      <c r="B231" t="s">
        <v>2789</v>
      </c>
    </row>
    <row r="232" spans="1:2" x14ac:dyDescent="0.4">
      <c r="A232">
        <v>247</v>
      </c>
      <c r="B232" t="s">
        <v>637</v>
      </c>
    </row>
    <row r="233" spans="1:2" x14ac:dyDescent="0.4">
      <c r="A233">
        <v>248</v>
      </c>
      <c r="B233" t="s">
        <v>2223</v>
      </c>
    </row>
    <row r="234" spans="1:2" x14ac:dyDescent="0.4">
      <c r="A234">
        <v>249</v>
      </c>
      <c r="B234" t="s">
        <v>2224</v>
      </c>
    </row>
    <row r="235" spans="1:2" x14ac:dyDescent="0.4">
      <c r="A235">
        <v>250</v>
      </c>
      <c r="B235" t="s">
        <v>2790</v>
      </c>
    </row>
    <row r="236" spans="1:2" x14ac:dyDescent="0.4">
      <c r="A236">
        <v>252</v>
      </c>
      <c r="B236" t="s">
        <v>2225</v>
      </c>
    </row>
    <row r="237" spans="1:2" x14ac:dyDescent="0.4">
      <c r="A237">
        <v>253</v>
      </c>
      <c r="B237" t="s">
        <v>2226</v>
      </c>
    </row>
    <row r="238" spans="1:2" x14ac:dyDescent="0.4">
      <c r="A238">
        <v>254</v>
      </c>
      <c r="B238" t="s">
        <v>2227</v>
      </c>
    </row>
    <row r="239" spans="1:2" x14ac:dyDescent="0.4">
      <c r="A239">
        <v>255</v>
      </c>
      <c r="B239" t="s">
        <v>2228</v>
      </c>
    </row>
    <row r="240" spans="1:2" x14ac:dyDescent="0.4">
      <c r="A240">
        <v>256</v>
      </c>
      <c r="B240" t="s">
        <v>535</v>
      </c>
    </row>
    <row r="241" spans="1:2" x14ac:dyDescent="0.4">
      <c r="A241">
        <v>257</v>
      </c>
      <c r="B241" t="s">
        <v>2229</v>
      </c>
    </row>
    <row r="242" spans="1:2" x14ac:dyDescent="0.4">
      <c r="A242">
        <v>258</v>
      </c>
      <c r="B242" t="s">
        <v>2230</v>
      </c>
    </row>
    <row r="243" spans="1:2" x14ac:dyDescent="0.4">
      <c r="A243">
        <v>259</v>
      </c>
      <c r="B243" t="s">
        <v>2231</v>
      </c>
    </row>
    <row r="244" spans="1:2" x14ac:dyDescent="0.4">
      <c r="A244">
        <v>260</v>
      </c>
      <c r="B244" t="s">
        <v>2232</v>
      </c>
    </row>
    <row r="245" spans="1:2" x14ac:dyDescent="0.4">
      <c r="A245">
        <v>261</v>
      </c>
      <c r="B245" t="s">
        <v>2233</v>
      </c>
    </row>
    <row r="246" spans="1:2" x14ac:dyDescent="0.4">
      <c r="A246">
        <v>262</v>
      </c>
      <c r="B246" t="s">
        <v>2234</v>
      </c>
    </row>
    <row r="247" spans="1:2" x14ac:dyDescent="0.4">
      <c r="A247">
        <v>263</v>
      </c>
      <c r="B247" t="s">
        <v>2791</v>
      </c>
    </row>
    <row r="248" spans="1:2" x14ac:dyDescent="0.4">
      <c r="A248">
        <v>264</v>
      </c>
      <c r="B248" t="s">
        <v>2235</v>
      </c>
    </row>
    <row r="249" spans="1:2" x14ac:dyDescent="0.4">
      <c r="A249">
        <v>265</v>
      </c>
      <c r="B249" t="s">
        <v>2236</v>
      </c>
    </row>
    <row r="250" spans="1:2" x14ac:dyDescent="0.4">
      <c r="A250">
        <v>266</v>
      </c>
      <c r="B250" t="s">
        <v>2792</v>
      </c>
    </row>
    <row r="251" spans="1:2" x14ac:dyDescent="0.4">
      <c r="A251">
        <v>267</v>
      </c>
      <c r="B251" t="s">
        <v>2237</v>
      </c>
    </row>
    <row r="252" spans="1:2" x14ac:dyDescent="0.4">
      <c r="A252">
        <v>268</v>
      </c>
      <c r="B252" t="s">
        <v>2238</v>
      </c>
    </row>
    <row r="253" spans="1:2" x14ac:dyDescent="0.4">
      <c r="A253">
        <v>269</v>
      </c>
      <c r="B253" t="s">
        <v>2239</v>
      </c>
    </row>
    <row r="254" spans="1:2" x14ac:dyDescent="0.4">
      <c r="A254">
        <v>270</v>
      </c>
      <c r="B254" t="s">
        <v>2240</v>
      </c>
    </row>
    <row r="255" spans="1:2" x14ac:dyDescent="0.4">
      <c r="A255">
        <v>271</v>
      </c>
      <c r="B255" t="s">
        <v>2241</v>
      </c>
    </row>
    <row r="256" spans="1:2" x14ac:dyDescent="0.4">
      <c r="A256">
        <v>272</v>
      </c>
      <c r="B256" t="s">
        <v>368</v>
      </c>
    </row>
    <row r="257" spans="1:2" x14ac:dyDescent="0.4">
      <c r="A257">
        <v>273</v>
      </c>
      <c r="B257" t="s">
        <v>2242</v>
      </c>
    </row>
    <row r="258" spans="1:2" x14ac:dyDescent="0.4">
      <c r="A258">
        <v>275</v>
      </c>
      <c r="B258" t="s">
        <v>2243</v>
      </c>
    </row>
    <row r="259" spans="1:2" x14ac:dyDescent="0.4">
      <c r="A259">
        <v>276</v>
      </c>
      <c r="B259" t="s">
        <v>2244</v>
      </c>
    </row>
    <row r="260" spans="1:2" x14ac:dyDescent="0.4">
      <c r="A260">
        <v>277</v>
      </c>
      <c r="B260" t="s">
        <v>2245</v>
      </c>
    </row>
    <row r="261" spans="1:2" x14ac:dyDescent="0.4">
      <c r="A261">
        <v>278</v>
      </c>
      <c r="B261" t="s">
        <v>2246</v>
      </c>
    </row>
    <row r="262" spans="1:2" x14ac:dyDescent="0.4">
      <c r="A262">
        <v>279</v>
      </c>
      <c r="B262" t="s">
        <v>2247</v>
      </c>
    </row>
    <row r="263" spans="1:2" x14ac:dyDescent="0.4">
      <c r="A263">
        <v>280</v>
      </c>
      <c r="B263" t="s">
        <v>2248</v>
      </c>
    </row>
    <row r="264" spans="1:2" x14ac:dyDescent="0.4">
      <c r="A264">
        <v>281</v>
      </c>
      <c r="B264" t="s">
        <v>2793</v>
      </c>
    </row>
    <row r="265" spans="1:2" x14ac:dyDescent="0.4">
      <c r="A265">
        <v>284</v>
      </c>
      <c r="B265" t="s">
        <v>2249</v>
      </c>
    </row>
    <row r="266" spans="1:2" x14ac:dyDescent="0.4">
      <c r="A266">
        <v>285</v>
      </c>
      <c r="B266" t="s">
        <v>2250</v>
      </c>
    </row>
    <row r="267" spans="1:2" x14ac:dyDescent="0.4">
      <c r="A267">
        <v>286</v>
      </c>
      <c r="B267" t="s">
        <v>2251</v>
      </c>
    </row>
    <row r="268" spans="1:2" x14ac:dyDescent="0.4">
      <c r="A268">
        <v>287</v>
      </c>
      <c r="B268" t="s">
        <v>2252</v>
      </c>
    </row>
    <row r="269" spans="1:2" x14ac:dyDescent="0.4">
      <c r="A269">
        <v>288</v>
      </c>
      <c r="B269" t="s">
        <v>2253</v>
      </c>
    </row>
    <row r="270" spans="1:2" x14ac:dyDescent="0.4">
      <c r="A270">
        <v>289</v>
      </c>
      <c r="B270" t="s">
        <v>2254</v>
      </c>
    </row>
    <row r="271" spans="1:2" x14ac:dyDescent="0.4">
      <c r="A271">
        <v>290</v>
      </c>
      <c r="B271" t="s">
        <v>2255</v>
      </c>
    </row>
    <row r="272" spans="1:2" x14ac:dyDescent="0.4">
      <c r="A272">
        <v>291</v>
      </c>
      <c r="B272" t="s">
        <v>2256</v>
      </c>
    </row>
    <row r="273" spans="1:2" x14ac:dyDescent="0.4">
      <c r="A273">
        <v>292</v>
      </c>
      <c r="B273" t="s">
        <v>2257</v>
      </c>
    </row>
    <row r="274" spans="1:2" x14ac:dyDescent="0.4">
      <c r="A274">
        <v>293</v>
      </c>
      <c r="B274" t="s">
        <v>2258</v>
      </c>
    </row>
    <row r="275" spans="1:2" x14ac:dyDescent="0.4">
      <c r="A275">
        <v>294</v>
      </c>
      <c r="B275" t="s">
        <v>2259</v>
      </c>
    </row>
    <row r="276" spans="1:2" x14ac:dyDescent="0.4">
      <c r="A276">
        <v>295</v>
      </c>
      <c r="B276" t="s">
        <v>2260</v>
      </c>
    </row>
    <row r="277" spans="1:2" x14ac:dyDescent="0.4">
      <c r="A277">
        <v>296</v>
      </c>
      <c r="B277" t="s">
        <v>2261</v>
      </c>
    </row>
    <row r="278" spans="1:2" x14ac:dyDescent="0.4">
      <c r="A278">
        <v>297</v>
      </c>
      <c r="B278" t="s">
        <v>2262</v>
      </c>
    </row>
    <row r="279" spans="1:2" x14ac:dyDescent="0.4">
      <c r="A279">
        <v>298</v>
      </c>
      <c r="B279" t="s">
        <v>2263</v>
      </c>
    </row>
    <row r="280" spans="1:2" x14ac:dyDescent="0.4">
      <c r="A280">
        <v>299</v>
      </c>
      <c r="B280" t="s">
        <v>432</v>
      </c>
    </row>
    <row r="281" spans="1:2" x14ac:dyDescent="0.4">
      <c r="A281">
        <v>300</v>
      </c>
      <c r="B281" t="s">
        <v>2264</v>
      </c>
    </row>
    <row r="282" spans="1:2" x14ac:dyDescent="0.4">
      <c r="A282">
        <v>301</v>
      </c>
      <c r="B282" t="s">
        <v>2794</v>
      </c>
    </row>
    <row r="283" spans="1:2" x14ac:dyDescent="0.4">
      <c r="A283">
        <v>302</v>
      </c>
      <c r="B283" t="s">
        <v>2265</v>
      </c>
    </row>
    <row r="284" spans="1:2" x14ac:dyDescent="0.4">
      <c r="A284">
        <v>303</v>
      </c>
      <c r="B284" t="s">
        <v>2266</v>
      </c>
    </row>
    <row r="285" spans="1:2" x14ac:dyDescent="0.4">
      <c r="A285">
        <v>304</v>
      </c>
      <c r="B285" t="s">
        <v>2267</v>
      </c>
    </row>
    <row r="286" spans="1:2" x14ac:dyDescent="0.4">
      <c r="A286">
        <v>305</v>
      </c>
      <c r="B286" t="s">
        <v>2795</v>
      </c>
    </row>
    <row r="287" spans="1:2" x14ac:dyDescent="0.4">
      <c r="A287">
        <v>306</v>
      </c>
      <c r="B287" t="s">
        <v>2796</v>
      </c>
    </row>
    <row r="288" spans="1:2" x14ac:dyDescent="0.4">
      <c r="A288">
        <v>307</v>
      </c>
      <c r="B288" t="s">
        <v>2268</v>
      </c>
    </row>
    <row r="289" spans="1:2" x14ac:dyDescent="0.4">
      <c r="A289">
        <v>308</v>
      </c>
      <c r="B289" t="s">
        <v>2269</v>
      </c>
    </row>
    <row r="290" spans="1:2" x14ac:dyDescent="0.4">
      <c r="A290">
        <v>309</v>
      </c>
      <c r="B290" t="s">
        <v>2797</v>
      </c>
    </row>
    <row r="291" spans="1:2" x14ac:dyDescent="0.4">
      <c r="A291">
        <v>310</v>
      </c>
      <c r="B291" t="s">
        <v>2798</v>
      </c>
    </row>
    <row r="292" spans="1:2" x14ac:dyDescent="0.4">
      <c r="A292">
        <v>311</v>
      </c>
      <c r="B292" t="s">
        <v>2799</v>
      </c>
    </row>
    <row r="293" spans="1:2" x14ac:dyDescent="0.4">
      <c r="A293">
        <v>312</v>
      </c>
      <c r="B293" t="s">
        <v>2270</v>
      </c>
    </row>
    <row r="294" spans="1:2" x14ac:dyDescent="0.4">
      <c r="A294">
        <v>313</v>
      </c>
      <c r="B294" t="s">
        <v>2800</v>
      </c>
    </row>
    <row r="295" spans="1:2" x14ac:dyDescent="0.4">
      <c r="A295">
        <v>314</v>
      </c>
      <c r="B295" t="s">
        <v>2801</v>
      </c>
    </row>
    <row r="296" spans="1:2" x14ac:dyDescent="0.4">
      <c r="A296">
        <v>315</v>
      </c>
      <c r="B296" t="s">
        <v>2802</v>
      </c>
    </row>
    <row r="297" spans="1:2" x14ac:dyDescent="0.4">
      <c r="A297">
        <v>316</v>
      </c>
      <c r="B297" t="s">
        <v>2271</v>
      </c>
    </row>
    <row r="298" spans="1:2" x14ac:dyDescent="0.4">
      <c r="A298">
        <v>317</v>
      </c>
      <c r="B298" t="s">
        <v>2272</v>
      </c>
    </row>
    <row r="299" spans="1:2" x14ac:dyDescent="0.4">
      <c r="A299">
        <v>318</v>
      </c>
      <c r="B299" t="s">
        <v>809</v>
      </c>
    </row>
    <row r="300" spans="1:2" x14ac:dyDescent="0.4">
      <c r="A300">
        <v>319</v>
      </c>
      <c r="B300" t="s">
        <v>2273</v>
      </c>
    </row>
    <row r="301" spans="1:2" x14ac:dyDescent="0.4">
      <c r="A301">
        <v>320</v>
      </c>
      <c r="B301" t="s">
        <v>533</v>
      </c>
    </row>
    <row r="302" spans="1:2" x14ac:dyDescent="0.4">
      <c r="A302">
        <v>321</v>
      </c>
      <c r="B302" t="s">
        <v>2803</v>
      </c>
    </row>
    <row r="303" spans="1:2" x14ac:dyDescent="0.4">
      <c r="A303">
        <v>322</v>
      </c>
      <c r="B303" t="s">
        <v>686</v>
      </c>
    </row>
    <row r="304" spans="1:2" x14ac:dyDescent="0.4">
      <c r="A304">
        <v>323</v>
      </c>
      <c r="B304" t="s">
        <v>2274</v>
      </c>
    </row>
    <row r="305" spans="1:2" x14ac:dyDescent="0.4">
      <c r="A305">
        <v>324</v>
      </c>
      <c r="B305" t="s">
        <v>2275</v>
      </c>
    </row>
    <row r="306" spans="1:2" x14ac:dyDescent="0.4">
      <c r="A306">
        <v>325</v>
      </c>
      <c r="B306" t="s">
        <v>2276</v>
      </c>
    </row>
    <row r="307" spans="1:2" x14ac:dyDescent="0.4">
      <c r="A307">
        <v>326</v>
      </c>
      <c r="B307" t="s">
        <v>2277</v>
      </c>
    </row>
    <row r="308" spans="1:2" x14ac:dyDescent="0.4">
      <c r="A308">
        <v>327</v>
      </c>
      <c r="B308" t="s">
        <v>2278</v>
      </c>
    </row>
    <row r="309" spans="1:2" x14ac:dyDescent="0.4">
      <c r="A309">
        <v>328</v>
      </c>
      <c r="B309" t="s">
        <v>2279</v>
      </c>
    </row>
    <row r="310" spans="1:2" x14ac:dyDescent="0.4">
      <c r="A310">
        <v>329</v>
      </c>
      <c r="B310" t="s">
        <v>786</v>
      </c>
    </row>
    <row r="311" spans="1:2" x14ac:dyDescent="0.4">
      <c r="A311">
        <v>330</v>
      </c>
      <c r="B311" t="s">
        <v>2804</v>
      </c>
    </row>
    <row r="312" spans="1:2" x14ac:dyDescent="0.4">
      <c r="A312">
        <v>331</v>
      </c>
      <c r="B312" t="s">
        <v>2280</v>
      </c>
    </row>
    <row r="313" spans="1:2" x14ac:dyDescent="0.4">
      <c r="A313">
        <v>332</v>
      </c>
      <c r="B313" t="s">
        <v>2281</v>
      </c>
    </row>
    <row r="314" spans="1:2" x14ac:dyDescent="0.4">
      <c r="A314">
        <v>333</v>
      </c>
      <c r="B314" t="s">
        <v>2282</v>
      </c>
    </row>
    <row r="315" spans="1:2" x14ac:dyDescent="0.4">
      <c r="A315">
        <v>334</v>
      </c>
      <c r="B315" t="s">
        <v>2283</v>
      </c>
    </row>
    <row r="316" spans="1:2" x14ac:dyDescent="0.4">
      <c r="A316">
        <v>335</v>
      </c>
      <c r="B316" t="s">
        <v>2284</v>
      </c>
    </row>
    <row r="317" spans="1:2" x14ac:dyDescent="0.4">
      <c r="A317">
        <v>336</v>
      </c>
      <c r="B317" t="s">
        <v>2285</v>
      </c>
    </row>
    <row r="318" spans="1:2" x14ac:dyDescent="0.4">
      <c r="A318">
        <v>337</v>
      </c>
      <c r="B318" t="s">
        <v>2286</v>
      </c>
    </row>
    <row r="319" spans="1:2" x14ac:dyDescent="0.4">
      <c r="A319">
        <v>338</v>
      </c>
      <c r="B319" t="s">
        <v>2805</v>
      </c>
    </row>
    <row r="320" spans="1:2" x14ac:dyDescent="0.4">
      <c r="A320">
        <v>339</v>
      </c>
      <c r="B320" t="s">
        <v>2287</v>
      </c>
    </row>
    <row r="321" spans="1:2" x14ac:dyDescent="0.4">
      <c r="A321">
        <v>340</v>
      </c>
      <c r="B321" t="s">
        <v>2288</v>
      </c>
    </row>
    <row r="322" spans="1:2" x14ac:dyDescent="0.4">
      <c r="A322">
        <v>341</v>
      </c>
      <c r="B322" t="s">
        <v>2289</v>
      </c>
    </row>
    <row r="323" spans="1:2" x14ac:dyDescent="0.4">
      <c r="A323">
        <v>342</v>
      </c>
      <c r="B323" t="s">
        <v>2290</v>
      </c>
    </row>
    <row r="324" spans="1:2" x14ac:dyDescent="0.4">
      <c r="A324">
        <v>343</v>
      </c>
      <c r="B324" t="s">
        <v>2291</v>
      </c>
    </row>
    <row r="325" spans="1:2" x14ac:dyDescent="0.4">
      <c r="A325">
        <v>344</v>
      </c>
      <c r="B325" t="s">
        <v>2292</v>
      </c>
    </row>
    <row r="326" spans="1:2" x14ac:dyDescent="0.4">
      <c r="A326">
        <v>345</v>
      </c>
      <c r="B326" t="s">
        <v>2293</v>
      </c>
    </row>
    <row r="327" spans="1:2" x14ac:dyDescent="0.4">
      <c r="A327">
        <v>346</v>
      </c>
      <c r="B327" t="s">
        <v>2294</v>
      </c>
    </row>
    <row r="328" spans="1:2" x14ac:dyDescent="0.4">
      <c r="A328">
        <v>347</v>
      </c>
      <c r="B328" t="s">
        <v>2295</v>
      </c>
    </row>
    <row r="329" spans="1:2" x14ac:dyDescent="0.4">
      <c r="A329">
        <v>348</v>
      </c>
      <c r="B329" t="s">
        <v>2296</v>
      </c>
    </row>
    <row r="330" spans="1:2" x14ac:dyDescent="0.4">
      <c r="A330">
        <v>350</v>
      </c>
      <c r="B330" t="s">
        <v>339</v>
      </c>
    </row>
    <row r="331" spans="1:2" x14ac:dyDescent="0.4">
      <c r="A331">
        <v>351</v>
      </c>
      <c r="B331" t="s">
        <v>810</v>
      </c>
    </row>
    <row r="332" spans="1:2" x14ac:dyDescent="0.4">
      <c r="A332">
        <v>352</v>
      </c>
      <c r="B332" t="s">
        <v>2297</v>
      </c>
    </row>
    <row r="333" spans="1:2" x14ac:dyDescent="0.4">
      <c r="A333">
        <v>353</v>
      </c>
      <c r="B333" t="s">
        <v>2298</v>
      </c>
    </row>
    <row r="334" spans="1:2" x14ac:dyDescent="0.4">
      <c r="A334">
        <v>354</v>
      </c>
      <c r="B334" t="s">
        <v>2299</v>
      </c>
    </row>
    <row r="335" spans="1:2" x14ac:dyDescent="0.4">
      <c r="A335">
        <v>355</v>
      </c>
      <c r="B335" t="s">
        <v>2300</v>
      </c>
    </row>
    <row r="336" spans="1:2" x14ac:dyDescent="0.4">
      <c r="A336">
        <v>356</v>
      </c>
      <c r="B336" t="s">
        <v>2301</v>
      </c>
    </row>
    <row r="337" spans="1:2" x14ac:dyDescent="0.4">
      <c r="A337">
        <v>357</v>
      </c>
      <c r="B337" t="s">
        <v>2302</v>
      </c>
    </row>
    <row r="338" spans="1:2" x14ac:dyDescent="0.4">
      <c r="A338">
        <v>358</v>
      </c>
      <c r="B338" t="s">
        <v>2303</v>
      </c>
    </row>
    <row r="339" spans="1:2" x14ac:dyDescent="0.4">
      <c r="A339">
        <v>359</v>
      </c>
      <c r="B339" t="s">
        <v>2752</v>
      </c>
    </row>
    <row r="340" spans="1:2" x14ac:dyDescent="0.4">
      <c r="A340">
        <v>360</v>
      </c>
      <c r="B340" t="s">
        <v>2304</v>
      </c>
    </row>
    <row r="341" spans="1:2" x14ac:dyDescent="0.4">
      <c r="A341">
        <v>361</v>
      </c>
      <c r="B341" t="s">
        <v>2305</v>
      </c>
    </row>
    <row r="342" spans="1:2" x14ac:dyDescent="0.4">
      <c r="A342">
        <v>362</v>
      </c>
      <c r="B342" t="s">
        <v>2306</v>
      </c>
    </row>
    <row r="343" spans="1:2" x14ac:dyDescent="0.4">
      <c r="A343">
        <v>363</v>
      </c>
      <c r="B343" t="s">
        <v>2307</v>
      </c>
    </row>
    <row r="344" spans="1:2" x14ac:dyDescent="0.4">
      <c r="A344">
        <v>364</v>
      </c>
      <c r="B344" t="s">
        <v>2308</v>
      </c>
    </row>
    <row r="345" spans="1:2" x14ac:dyDescent="0.4">
      <c r="A345">
        <v>366</v>
      </c>
      <c r="B345" t="s">
        <v>2806</v>
      </c>
    </row>
    <row r="346" spans="1:2" x14ac:dyDescent="0.4">
      <c r="A346">
        <v>367</v>
      </c>
      <c r="B346" t="s">
        <v>2798</v>
      </c>
    </row>
    <row r="347" spans="1:2" x14ac:dyDescent="0.4">
      <c r="A347">
        <v>368</v>
      </c>
      <c r="B347" t="s">
        <v>2807</v>
      </c>
    </row>
    <row r="348" spans="1:2" x14ac:dyDescent="0.4">
      <c r="A348">
        <v>370</v>
      </c>
      <c r="B348" t="s">
        <v>2309</v>
      </c>
    </row>
    <row r="349" spans="1:2" x14ac:dyDescent="0.4">
      <c r="A349">
        <v>371</v>
      </c>
      <c r="B349" t="s">
        <v>2808</v>
      </c>
    </row>
    <row r="350" spans="1:2" x14ac:dyDescent="0.4">
      <c r="A350">
        <v>373</v>
      </c>
      <c r="B350" t="s">
        <v>702</v>
      </c>
    </row>
    <row r="351" spans="1:2" x14ac:dyDescent="0.4">
      <c r="A351">
        <v>374</v>
      </c>
      <c r="B351" t="s">
        <v>2809</v>
      </c>
    </row>
    <row r="352" spans="1:2" x14ac:dyDescent="0.4">
      <c r="A352">
        <v>375</v>
      </c>
      <c r="B352" t="s">
        <v>2310</v>
      </c>
    </row>
    <row r="353" spans="1:2" x14ac:dyDescent="0.4">
      <c r="A353">
        <v>376</v>
      </c>
      <c r="B353" t="s">
        <v>2311</v>
      </c>
    </row>
    <row r="354" spans="1:2" x14ac:dyDescent="0.4">
      <c r="A354">
        <v>377</v>
      </c>
      <c r="B354" s="83" t="s">
        <v>2312</v>
      </c>
    </row>
    <row r="355" spans="1:2" x14ac:dyDescent="0.4">
      <c r="A355">
        <v>378</v>
      </c>
      <c r="B355" t="s">
        <v>2313</v>
      </c>
    </row>
    <row r="356" spans="1:2" x14ac:dyDescent="0.4">
      <c r="A356">
        <v>380</v>
      </c>
      <c r="B356" t="s">
        <v>2314</v>
      </c>
    </row>
    <row r="357" spans="1:2" x14ac:dyDescent="0.4">
      <c r="A357">
        <v>382</v>
      </c>
      <c r="B357" t="s">
        <v>2315</v>
      </c>
    </row>
    <row r="358" spans="1:2" x14ac:dyDescent="0.4">
      <c r="A358">
        <v>383</v>
      </c>
      <c r="B358" t="s">
        <v>2316</v>
      </c>
    </row>
    <row r="359" spans="1:2" x14ac:dyDescent="0.4">
      <c r="A359">
        <v>385</v>
      </c>
      <c r="B359" t="s">
        <v>2317</v>
      </c>
    </row>
    <row r="360" spans="1:2" x14ac:dyDescent="0.4">
      <c r="A360">
        <v>386</v>
      </c>
    </row>
    <row r="361" spans="1:2" x14ac:dyDescent="0.4">
      <c r="A361">
        <v>387</v>
      </c>
      <c r="B361" t="s">
        <v>2318</v>
      </c>
    </row>
    <row r="362" spans="1:2" x14ac:dyDescent="0.4">
      <c r="A362">
        <v>388</v>
      </c>
      <c r="B362" t="s">
        <v>2319</v>
      </c>
    </row>
    <row r="363" spans="1:2" x14ac:dyDescent="0.4">
      <c r="A363">
        <v>389</v>
      </c>
      <c r="B363" t="s">
        <v>2320</v>
      </c>
    </row>
    <row r="364" spans="1:2" x14ac:dyDescent="0.4">
      <c r="A364">
        <v>390</v>
      </c>
      <c r="B364" t="s">
        <v>2810</v>
      </c>
    </row>
    <row r="365" spans="1:2" x14ac:dyDescent="0.4">
      <c r="A365">
        <v>392</v>
      </c>
      <c r="B365" t="s">
        <v>2321</v>
      </c>
    </row>
    <row r="366" spans="1:2" x14ac:dyDescent="0.4">
      <c r="A366">
        <v>393</v>
      </c>
      <c r="B366" t="s">
        <v>2322</v>
      </c>
    </row>
    <row r="367" spans="1:2" x14ac:dyDescent="0.4">
      <c r="A367">
        <v>394</v>
      </c>
      <c r="B367" t="s">
        <v>2323</v>
      </c>
    </row>
    <row r="368" spans="1:2" x14ac:dyDescent="0.4">
      <c r="A368">
        <v>395</v>
      </c>
      <c r="B368" t="s">
        <v>372</v>
      </c>
    </row>
    <row r="369" spans="1:2" x14ac:dyDescent="0.4">
      <c r="A369">
        <v>396</v>
      </c>
      <c r="B369" s="83" t="s">
        <v>2324</v>
      </c>
    </row>
    <row r="370" spans="1:2" x14ac:dyDescent="0.4">
      <c r="A370">
        <v>397</v>
      </c>
      <c r="B370" t="s">
        <v>2325</v>
      </c>
    </row>
    <row r="371" spans="1:2" x14ac:dyDescent="0.4">
      <c r="A371">
        <v>398</v>
      </c>
      <c r="B371" t="s">
        <v>2326</v>
      </c>
    </row>
    <row r="372" spans="1:2" x14ac:dyDescent="0.4">
      <c r="A372">
        <v>399</v>
      </c>
      <c r="B372" t="s">
        <v>511</v>
      </c>
    </row>
    <row r="373" spans="1:2" x14ac:dyDescent="0.4">
      <c r="A373">
        <v>400</v>
      </c>
      <c r="B373" t="s">
        <v>2327</v>
      </c>
    </row>
    <row r="374" spans="1:2" x14ac:dyDescent="0.4">
      <c r="A374">
        <v>401</v>
      </c>
      <c r="B374" t="s">
        <v>2328</v>
      </c>
    </row>
    <row r="375" spans="1:2" x14ac:dyDescent="0.4">
      <c r="A375">
        <v>402</v>
      </c>
    </row>
    <row r="376" spans="1:2" x14ac:dyDescent="0.4">
      <c r="A376">
        <v>403</v>
      </c>
      <c r="B376" t="s">
        <v>2811</v>
      </c>
    </row>
    <row r="377" spans="1:2" x14ac:dyDescent="0.4">
      <c r="A377">
        <v>404</v>
      </c>
      <c r="B377" t="s">
        <v>2812</v>
      </c>
    </row>
    <row r="378" spans="1:2" x14ac:dyDescent="0.4">
      <c r="A378">
        <v>405</v>
      </c>
      <c r="B378" t="s">
        <v>2813</v>
      </c>
    </row>
    <row r="379" spans="1:2" x14ac:dyDescent="0.4">
      <c r="A379">
        <v>406</v>
      </c>
      <c r="B379" t="s">
        <v>2814</v>
      </c>
    </row>
    <row r="380" spans="1:2" x14ac:dyDescent="0.4">
      <c r="A380">
        <v>407</v>
      </c>
      <c r="B380" t="s">
        <v>2329</v>
      </c>
    </row>
    <row r="381" spans="1:2" x14ac:dyDescent="0.4">
      <c r="A381">
        <v>408</v>
      </c>
      <c r="B381" t="s">
        <v>2330</v>
      </c>
    </row>
    <row r="382" spans="1:2" x14ac:dyDescent="0.4">
      <c r="A382">
        <v>409</v>
      </c>
      <c r="B382" s="83" t="s">
        <v>2331</v>
      </c>
    </row>
    <row r="383" spans="1:2" x14ac:dyDescent="0.4">
      <c r="A383">
        <v>410</v>
      </c>
      <c r="B383" t="s">
        <v>2815</v>
      </c>
    </row>
    <row r="384" spans="1:2" x14ac:dyDescent="0.4">
      <c r="A384">
        <v>411</v>
      </c>
      <c r="B384" t="s">
        <v>2332</v>
      </c>
    </row>
    <row r="385" spans="1:2" x14ac:dyDescent="0.4">
      <c r="A385">
        <v>412</v>
      </c>
      <c r="B385" t="s">
        <v>2333</v>
      </c>
    </row>
    <row r="386" spans="1:2" x14ac:dyDescent="0.4">
      <c r="A386">
        <v>413</v>
      </c>
      <c r="B386" t="s">
        <v>1433</v>
      </c>
    </row>
    <row r="387" spans="1:2" x14ac:dyDescent="0.4">
      <c r="A387">
        <v>414</v>
      </c>
      <c r="B387" t="s">
        <v>2334</v>
      </c>
    </row>
    <row r="388" spans="1:2" x14ac:dyDescent="0.4">
      <c r="A388">
        <v>415</v>
      </c>
    </row>
    <row r="389" spans="1:2" x14ac:dyDescent="0.4">
      <c r="A389">
        <v>416</v>
      </c>
      <c r="B389" t="s">
        <v>2335</v>
      </c>
    </row>
    <row r="390" spans="1:2" x14ac:dyDescent="0.4">
      <c r="A390">
        <v>417</v>
      </c>
      <c r="B390" t="s">
        <v>2336</v>
      </c>
    </row>
    <row r="391" spans="1:2" x14ac:dyDescent="0.4">
      <c r="A391">
        <v>418</v>
      </c>
      <c r="B391" t="s">
        <v>2337</v>
      </c>
    </row>
    <row r="392" spans="1:2" x14ac:dyDescent="0.4">
      <c r="A392">
        <v>419</v>
      </c>
      <c r="B392" t="s">
        <v>2816</v>
      </c>
    </row>
    <row r="393" spans="1:2" x14ac:dyDescent="0.4">
      <c r="A393">
        <v>420</v>
      </c>
      <c r="B393" t="s">
        <v>2338</v>
      </c>
    </row>
    <row r="394" spans="1:2" x14ac:dyDescent="0.4">
      <c r="A394">
        <v>421</v>
      </c>
      <c r="B394" t="s">
        <v>2339</v>
      </c>
    </row>
    <row r="395" spans="1:2" x14ac:dyDescent="0.4">
      <c r="A395">
        <v>422</v>
      </c>
      <c r="B395" t="s">
        <v>2340</v>
      </c>
    </row>
    <row r="396" spans="1:2" x14ac:dyDescent="0.4">
      <c r="A396">
        <v>423</v>
      </c>
      <c r="B396" s="83" t="s">
        <v>2341</v>
      </c>
    </row>
    <row r="397" spans="1:2" x14ac:dyDescent="0.4">
      <c r="A397">
        <v>424</v>
      </c>
      <c r="B397" t="s">
        <v>2817</v>
      </c>
    </row>
    <row r="398" spans="1:2" x14ac:dyDescent="0.4">
      <c r="A398">
        <v>425</v>
      </c>
      <c r="B398" s="83" t="s">
        <v>2342</v>
      </c>
    </row>
    <row r="399" spans="1:2" x14ac:dyDescent="0.4">
      <c r="A399">
        <v>426</v>
      </c>
      <c r="B399" t="s">
        <v>2818</v>
      </c>
    </row>
    <row r="400" spans="1:2" x14ac:dyDescent="0.4">
      <c r="A400">
        <v>427</v>
      </c>
      <c r="B400" s="83" t="s">
        <v>2343</v>
      </c>
    </row>
    <row r="401" spans="1:2" x14ac:dyDescent="0.4">
      <c r="A401">
        <v>428</v>
      </c>
      <c r="B401" t="s">
        <v>2344</v>
      </c>
    </row>
    <row r="402" spans="1:2" x14ac:dyDescent="0.4">
      <c r="A402">
        <v>429</v>
      </c>
      <c r="B402" s="83"/>
    </row>
    <row r="403" spans="1:2" x14ac:dyDescent="0.4">
      <c r="A403">
        <v>430</v>
      </c>
      <c r="B403" t="s">
        <v>2345</v>
      </c>
    </row>
    <row r="404" spans="1:2" x14ac:dyDescent="0.4">
      <c r="A404">
        <v>431</v>
      </c>
    </row>
    <row r="405" spans="1:2" x14ac:dyDescent="0.4">
      <c r="A405">
        <v>432</v>
      </c>
      <c r="B405" t="s">
        <v>2346</v>
      </c>
    </row>
    <row r="406" spans="1:2" x14ac:dyDescent="0.4">
      <c r="A406">
        <v>433</v>
      </c>
    </row>
    <row r="407" spans="1:2" x14ac:dyDescent="0.4">
      <c r="A407">
        <v>434</v>
      </c>
      <c r="B407" t="s">
        <v>2347</v>
      </c>
    </row>
    <row r="408" spans="1:2" x14ac:dyDescent="0.4">
      <c r="A408">
        <v>435</v>
      </c>
    </row>
    <row r="409" spans="1:2" x14ac:dyDescent="0.4">
      <c r="A409">
        <v>436</v>
      </c>
      <c r="B409" t="s">
        <v>2816</v>
      </c>
    </row>
    <row r="410" spans="1:2" x14ac:dyDescent="0.4">
      <c r="A410">
        <v>437</v>
      </c>
      <c r="B410" t="s">
        <v>2819</v>
      </c>
    </row>
    <row r="411" spans="1:2" x14ac:dyDescent="0.4">
      <c r="A411">
        <v>438</v>
      </c>
      <c r="B411" t="s">
        <v>2819</v>
      </c>
    </row>
    <row r="412" spans="1:2" x14ac:dyDescent="0.4">
      <c r="A412">
        <v>439</v>
      </c>
      <c r="B412" t="s">
        <v>774</v>
      </c>
    </row>
    <row r="413" spans="1:2" x14ac:dyDescent="0.4">
      <c r="A413">
        <v>440</v>
      </c>
      <c r="B413" t="s">
        <v>2348</v>
      </c>
    </row>
    <row r="414" spans="1:2" x14ac:dyDescent="0.4">
      <c r="A414">
        <v>441</v>
      </c>
      <c r="B414" t="s">
        <v>2820</v>
      </c>
    </row>
    <row r="415" spans="1:2" x14ac:dyDescent="0.4">
      <c r="A415">
        <v>442</v>
      </c>
      <c r="B415" t="s">
        <v>2349</v>
      </c>
    </row>
    <row r="416" spans="1:2" x14ac:dyDescent="0.4">
      <c r="A416">
        <v>443</v>
      </c>
      <c r="B416" t="s">
        <v>825</v>
      </c>
    </row>
    <row r="417" spans="1:2" x14ac:dyDescent="0.4">
      <c r="A417">
        <v>444</v>
      </c>
      <c r="B417" t="s">
        <v>2821</v>
      </c>
    </row>
    <row r="418" spans="1:2" x14ac:dyDescent="0.4">
      <c r="A418">
        <v>445</v>
      </c>
      <c r="B418" t="s">
        <v>2295</v>
      </c>
    </row>
    <row r="419" spans="1:2" x14ac:dyDescent="0.4">
      <c r="A419">
        <v>446</v>
      </c>
      <c r="B419" t="s">
        <v>2350</v>
      </c>
    </row>
    <row r="420" spans="1:2" x14ac:dyDescent="0.4">
      <c r="A420">
        <v>447</v>
      </c>
      <c r="B420" t="s">
        <v>2351</v>
      </c>
    </row>
    <row r="421" spans="1:2" x14ac:dyDescent="0.4">
      <c r="A421">
        <v>448</v>
      </c>
      <c r="B421" t="s">
        <v>2352</v>
      </c>
    </row>
    <row r="422" spans="1:2" x14ac:dyDescent="0.4">
      <c r="A422">
        <v>449</v>
      </c>
      <c r="B422" t="s">
        <v>2353</v>
      </c>
    </row>
    <row r="423" spans="1:2" x14ac:dyDescent="0.4">
      <c r="A423">
        <v>450</v>
      </c>
      <c r="B423" t="s">
        <v>2354</v>
      </c>
    </row>
    <row r="424" spans="1:2" x14ac:dyDescent="0.4">
      <c r="A424">
        <v>451</v>
      </c>
      <c r="B424" t="s">
        <v>2355</v>
      </c>
    </row>
    <row r="425" spans="1:2" x14ac:dyDescent="0.4">
      <c r="A425">
        <v>452</v>
      </c>
      <c r="B425" t="s">
        <v>2356</v>
      </c>
    </row>
    <row r="426" spans="1:2" x14ac:dyDescent="0.4">
      <c r="A426">
        <v>453</v>
      </c>
      <c r="B426" t="s">
        <v>692</v>
      </c>
    </row>
    <row r="427" spans="1:2" x14ac:dyDescent="0.4">
      <c r="A427">
        <v>454</v>
      </c>
      <c r="B427" t="s">
        <v>2357</v>
      </c>
    </row>
    <row r="428" spans="1:2" x14ac:dyDescent="0.4">
      <c r="A428">
        <v>455</v>
      </c>
      <c r="B428" t="s">
        <v>2358</v>
      </c>
    </row>
    <row r="429" spans="1:2" x14ac:dyDescent="0.4">
      <c r="A429">
        <v>456</v>
      </c>
      <c r="B429" t="s">
        <v>2359</v>
      </c>
    </row>
    <row r="430" spans="1:2" x14ac:dyDescent="0.4">
      <c r="A430">
        <v>457</v>
      </c>
      <c r="B430" t="s">
        <v>2360</v>
      </c>
    </row>
    <row r="431" spans="1:2" x14ac:dyDescent="0.4">
      <c r="A431">
        <v>458</v>
      </c>
      <c r="B431" t="s">
        <v>2361</v>
      </c>
    </row>
    <row r="432" spans="1:2" x14ac:dyDescent="0.4">
      <c r="A432">
        <v>459</v>
      </c>
      <c r="B432" t="s">
        <v>2362</v>
      </c>
    </row>
    <row r="433" spans="1:2" x14ac:dyDescent="0.4">
      <c r="A433">
        <v>460</v>
      </c>
      <c r="B433" t="s">
        <v>2363</v>
      </c>
    </row>
    <row r="434" spans="1:2" x14ac:dyDescent="0.4">
      <c r="A434">
        <v>461</v>
      </c>
      <c r="B434" t="s">
        <v>2364</v>
      </c>
    </row>
    <row r="435" spans="1:2" x14ac:dyDescent="0.4">
      <c r="A435">
        <v>462</v>
      </c>
      <c r="B435" t="s">
        <v>2365</v>
      </c>
    </row>
    <row r="436" spans="1:2" x14ac:dyDescent="0.4">
      <c r="A436">
        <v>463</v>
      </c>
      <c r="B436" t="s">
        <v>2364</v>
      </c>
    </row>
    <row r="437" spans="1:2" x14ac:dyDescent="0.4">
      <c r="A437">
        <v>464</v>
      </c>
      <c r="B437" t="s">
        <v>778</v>
      </c>
    </row>
    <row r="438" spans="1:2" x14ac:dyDescent="0.4">
      <c r="A438">
        <v>465</v>
      </c>
      <c r="B438" t="s">
        <v>2366</v>
      </c>
    </row>
    <row r="439" spans="1:2" x14ac:dyDescent="0.4">
      <c r="A439">
        <v>466</v>
      </c>
      <c r="B439" t="s">
        <v>2367</v>
      </c>
    </row>
    <row r="440" spans="1:2" x14ac:dyDescent="0.4">
      <c r="A440">
        <v>467</v>
      </c>
      <c r="B440" t="s">
        <v>2368</v>
      </c>
    </row>
    <row r="441" spans="1:2" x14ac:dyDescent="0.4">
      <c r="A441">
        <v>468</v>
      </c>
      <c r="B441" t="s">
        <v>852</v>
      </c>
    </row>
    <row r="442" spans="1:2" x14ac:dyDescent="0.4">
      <c r="A442">
        <v>469</v>
      </c>
      <c r="B442" t="s">
        <v>2369</v>
      </c>
    </row>
    <row r="443" spans="1:2" x14ac:dyDescent="0.4">
      <c r="A443">
        <v>470</v>
      </c>
      <c r="B443" t="s">
        <v>2370</v>
      </c>
    </row>
    <row r="444" spans="1:2" x14ac:dyDescent="0.4">
      <c r="A444">
        <v>471</v>
      </c>
      <c r="B444" t="s">
        <v>2371</v>
      </c>
    </row>
    <row r="445" spans="1:2" x14ac:dyDescent="0.4">
      <c r="A445">
        <v>472</v>
      </c>
      <c r="B445" t="s">
        <v>2822</v>
      </c>
    </row>
    <row r="446" spans="1:2" x14ac:dyDescent="0.4">
      <c r="A446">
        <v>473</v>
      </c>
      <c r="B446" t="s">
        <v>2372</v>
      </c>
    </row>
    <row r="447" spans="1:2" x14ac:dyDescent="0.4">
      <c r="A447">
        <v>474</v>
      </c>
      <c r="B447" t="s">
        <v>2373</v>
      </c>
    </row>
    <row r="448" spans="1:2" x14ac:dyDescent="0.4">
      <c r="A448">
        <v>475</v>
      </c>
      <c r="B448" t="s">
        <v>2823</v>
      </c>
    </row>
    <row r="449" spans="1:2" x14ac:dyDescent="0.4">
      <c r="A449">
        <v>476</v>
      </c>
      <c r="B449" t="s">
        <v>2824</v>
      </c>
    </row>
    <row r="450" spans="1:2" x14ac:dyDescent="0.4">
      <c r="A450">
        <v>477</v>
      </c>
      <c r="B450" t="s">
        <v>2825</v>
      </c>
    </row>
    <row r="451" spans="1:2" x14ac:dyDescent="0.4">
      <c r="A451">
        <v>478</v>
      </c>
      <c r="B451" t="s">
        <v>2826</v>
      </c>
    </row>
    <row r="452" spans="1:2" x14ac:dyDescent="0.4">
      <c r="A452">
        <v>479</v>
      </c>
      <c r="B452" t="s">
        <v>2374</v>
      </c>
    </row>
    <row r="453" spans="1:2" x14ac:dyDescent="0.4">
      <c r="A453">
        <v>480</v>
      </c>
      <c r="B453" t="s">
        <v>2375</v>
      </c>
    </row>
    <row r="454" spans="1:2" x14ac:dyDescent="0.4">
      <c r="A454">
        <v>481</v>
      </c>
      <c r="B454" t="s">
        <v>2376</v>
      </c>
    </row>
    <row r="455" spans="1:2" x14ac:dyDescent="0.4">
      <c r="A455">
        <v>482</v>
      </c>
      <c r="B455" t="s">
        <v>2827</v>
      </c>
    </row>
    <row r="456" spans="1:2" x14ac:dyDescent="0.4">
      <c r="A456">
        <v>483</v>
      </c>
      <c r="B456" t="s">
        <v>2828</v>
      </c>
    </row>
    <row r="457" spans="1:2" x14ac:dyDescent="0.4">
      <c r="A457">
        <v>484</v>
      </c>
      <c r="B457" t="s">
        <v>2377</v>
      </c>
    </row>
    <row r="458" spans="1:2" x14ac:dyDescent="0.4">
      <c r="A458">
        <v>485</v>
      </c>
      <c r="B458" t="s">
        <v>2829</v>
      </c>
    </row>
    <row r="459" spans="1:2" x14ac:dyDescent="0.4">
      <c r="A459">
        <v>486</v>
      </c>
      <c r="B459" t="s">
        <v>2830</v>
      </c>
    </row>
    <row r="460" spans="1:2" x14ac:dyDescent="0.4">
      <c r="A460">
        <v>487</v>
      </c>
      <c r="B460" t="s">
        <v>2831</v>
      </c>
    </row>
    <row r="461" spans="1:2" x14ac:dyDescent="0.4">
      <c r="A461">
        <v>488</v>
      </c>
      <c r="B461" t="s">
        <v>2378</v>
      </c>
    </row>
    <row r="462" spans="1:2" x14ac:dyDescent="0.4">
      <c r="A462">
        <v>489</v>
      </c>
      <c r="B462" t="s">
        <v>2832</v>
      </c>
    </row>
    <row r="463" spans="1:2" x14ac:dyDescent="0.4">
      <c r="A463">
        <v>490</v>
      </c>
      <c r="B463" t="s">
        <v>331</v>
      </c>
    </row>
    <row r="464" spans="1:2" x14ac:dyDescent="0.4">
      <c r="A464">
        <v>491</v>
      </c>
      <c r="B464" t="s">
        <v>2379</v>
      </c>
    </row>
    <row r="465" spans="1:2" x14ac:dyDescent="0.4">
      <c r="A465">
        <v>492</v>
      </c>
      <c r="B465" t="s">
        <v>2380</v>
      </c>
    </row>
    <row r="466" spans="1:2" x14ac:dyDescent="0.4">
      <c r="A466">
        <v>493</v>
      </c>
      <c r="B466" t="s">
        <v>2833</v>
      </c>
    </row>
    <row r="467" spans="1:2" x14ac:dyDescent="0.4">
      <c r="A467">
        <v>494</v>
      </c>
      <c r="B467" t="s">
        <v>2381</v>
      </c>
    </row>
    <row r="468" spans="1:2" x14ac:dyDescent="0.4">
      <c r="A468">
        <v>495</v>
      </c>
      <c r="B468" t="s">
        <v>2382</v>
      </c>
    </row>
    <row r="469" spans="1:2" x14ac:dyDescent="0.4">
      <c r="A469">
        <v>496</v>
      </c>
      <c r="B469" t="s">
        <v>2383</v>
      </c>
    </row>
    <row r="470" spans="1:2" x14ac:dyDescent="0.4">
      <c r="A470">
        <v>497</v>
      </c>
      <c r="B470" t="s">
        <v>2834</v>
      </c>
    </row>
    <row r="471" spans="1:2" x14ac:dyDescent="0.4">
      <c r="A471">
        <v>498</v>
      </c>
      <c r="B471" t="s">
        <v>2384</v>
      </c>
    </row>
    <row r="472" spans="1:2" x14ac:dyDescent="0.4">
      <c r="A472">
        <v>499</v>
      </c>
      <c r="B472" s="83" t="s">
        <v>2385</v>
      </c>
    </row>
    <row r="473" spans="1:2" x14ac:dyDescent="0.4">
      <c r="A473">
        <v>500</v>
      </c>
      <c r="B473" t="s">
        <v>2835</v>
      </c>
    </row>
    <row r="474" spans="1:2" x14ac:dyDescent="0.4">
      <c r="A474">
        <v>501</v>
      </c>
      <c r="B474" t="s">
        <v>2386</v>
      </c>
    </row>
    <row r="475" spans="1:2" x14ac:dyDescent="0.4">
      <c r="A475">
        <v>502</v>
      </c>
      <c r="B475" t="s">
        <v>2387</v>
      </c>
    </row>
    <row r="476" spans="1:2" x14ac:dyDescent="0.4">
      <c r="A476">
        <v>503</v>
      </c>
      <c r="B476" t="s">
        <v>2388</v>
      </c>
    </row>
    <row r="477" spans="1:2" x14ac:dyDescent="0.4">
      <c r="A477">
        <v>504</v>
      </c>
      <c r="B477" s="83" t="s">
        <v>2389</v>
      </c>
    </row>
    <row r="478" spans="1:2" x14ac:dyDescent="0.4">
      <c r="A478">
        <v>505</v>
      </c>
    </row>
    <row r="479" spans="1:2" x14ac:dyDescent="0.4">
      <c r="A479">
        <v>506</v>
      </c>
      <c r="B479" t="s">
        <v>2390</v>
      </c>
    </row>
    <row r="480" spans="1:2" x14ac:dyDescent="0.4">
      <c r="A480">
        <v>507</v>
      </c>
      <c r="B480" t="s">
        <v>2391</v>
      </c>
    </row>
    <row r="481" spans="1:2" x14ac:dyDescent="0.4">
      <c r="A481">
        <v>508</v>
      </c>
      <c r="B481" t="s">
        <v>836</v>
      </c>
    </row>
    <row r="482" spans="1:2" x14ac:dyDescent="0.4">
      <c r="A482">
        <v>509</v>
      </c>
      <c r="B482" t="s">
        <v>2392</v>
      </c>
    </row>
    <row r="483" spans="1:2" x14ac:dyDescent="0.4">
      <c r="A483">
        <v>510</v>
      </c>
    </row>
    <row r="484" spans="1:2" x14ac:dyDescent="0.4">
      <c r="A484">
        <v>511</v>
      </c>
      <c r="B484" t="s">
        <v>2393</v>
      </c>
    </row>
    <row r="485" spans="1:2" x14ac:dyDescent="0.4">
      <c r="A485">
        <v>512</v>
      </c>
      <c r="B485" t="s">
        <v>369</v>
      </c>
    </row>
    <row r="486" spans="1:2" x14ac:dyDescent="0.4">
      <c r="A486">
        <v>513</v>
      </c>
      <c r="B486" t="s">
        <v>2394</v>
      </c>
    </row>
    <row r="487" spans="1:2" x14ac:dyDescent="0.4">
      <c r="A487">
        <v>514</v>
      </c>
      <c r="B487" t="s">
        <v>2836</v>
      </c>
    </row>
    <row r="488" spans="1:2" x14ac:dyDescent="0.4">
      <c r="A488">
        <v>515</v>
      </c>
      <c r="B488" t="s">
        <v>374</v>
      </c>
    </row>
    <row r="489" spans="1:2" x14ac:dyDescent="0.4">
      <c r="A489">
        <v>516</v>
      </c>
      <c r="B489" t="s">
        <v>2837</v>
      </c>
    </row>
    <row r="490" spans="1:2" x14ac:dyDescent="0.4">
      <c r="A490">
        <v>517</v>
      </c>
      <c r="B490" t="s">
        <v>2838</v>
      </c>
    </row>
    <row r="491" spans="1:2" x14ac:dyDescent="0.4">
      <c r="A491">
        <v>518</v>
      </c>
      <c r="B491" t="s">
        <v>2839</v>
      </c>
    </row>
    <row r="492" spans="1:2" x14ac:dyDescent="0.4">
      <c r="A492">
        <v>519</v>
      </c>
      <c r="B492" t="s">
        <v>2840</v>
      </c>
    </row>
    <row r="493" spans="1:2" x14ac:dyDescent="0.4">
      <c r="A493">
        <v>520</v>
      </c>
      <c r="B493" t="s">
        <v>2395</v>
      </c>
    </row>
    <row r="494" spans="1:2" x14ac:dyDescent="0.4">
      <c r="A494">
        <v>521</v>
      </c>
      <c r="B494" t="s">
        <v>385</v>
      </c>
    </row>
    <row r="495" spans="1:2" x14ac:dyDescent="0.4">
      <c r="A495">
        <v>522</v>
      </c>
      <c r="B495" t="s">
        <v>2396</v>
      </c>
    </row>
    <row r="496" spans="1:2" x14ac:dyDescent="0.4">
      <c r="A496">
        <v>523</v>
      </c>
      <c r="B496" t="s">
        <v>2397</v>
      </c>
    </row>
    <row r="497" spans="1:2" x14ac:dyDescent="0.4">
      <c r="A497">
        <v>524</v>
      </c>
      <c r="B497" t="s">
        <v>388</v>
      </c>
    </row>
    <row r="498" spans="1:2" x14ac:dyDescent="0.4">
      <c r="A498">
        <v>525</v>
      </c>
      <c r="B498" t="s">
        <v>2398</v>
      </c>
    </row>
    <row r="499" spans="1:2" x14ac:dyDescent="0.4">
      <c r="A499">
        <v>526</v>
      </c>
      <c r="B499" s="83" t="s">
        <v>2841</v>
      </c>
    </row>
    <row r="500" spans="1:2" x14ac:dyDescent="0.4">
      <c r="A500">
        <v>527</v>
      </c>
      <c r="B500" t="s">
        <v>2842</v>
      </c>
    </row>
    <row r="501" spans="1:2" x14ac:dyDescent="0.4">
      <c r="A501">
        <v>528</v>
      </c>
      <c r="B501" t="s">
        <v>2843</v>
      </c>
    </row>
    <row r="502" spans="1:2" x14ac:dyDescent="0.4">
      <c r="A502">
        <v>529</v>
      </c>
      <c r="B502" s="83" t="s">
        <v>2399</v>
      </c>
    </row>
    <row r="503" spans="1:2" x14ac:dyDescent="0.4">
      <c r="A503">
        <v>530</v>
      </c>
      <c r="B503" t="s">
        <v>2400</v>
      </c>
    </row>
    <row r="504" spans="1:2" x14ac:dyDescent="0.4">
      <c r="A504">
        <v>531</v>
      </c>
      <c r="B504" t="s">
        <v>2401</v>
      </c>
    </row>
    <row r="505" spans="1:2" x14ac:dyDescent="0.4">
      <c r="A505">
        <v>532</v>
      </c>
    </row>
    <row r="506" spans="1:2" x14ac:dyDescent="0.4">
      <c r="A506">
        <v>533</v>
      </c>
      <c r="B506" s="83" t="s">
        <v>2402</v>
      </c>
    </row>
    <row r="507" spans="1:2" x14ac:dyDescent="0.4">
      <c r="A507">
        <v>534</v>
      </c>
      <c r="B507" s="83" t="s">
        <v>2403</v>
      </c>
    </row>
    <row r="508" spans="1:2" x14ac:dyDescent="0.4">
      <c r="A508">
        <v>535</v>
      </c>
    </row>
    <row r="509" spans="1:2" x14ac:dyDescent="0.4">
      <c r="A509">
        <v>536</v>
      </c>
      <c r="B509" s="83" t="s">
        <v>2404</v>
      </c>
    </row>
    <row r="510" spans="1:2" x14ac:dyDescent="0.4">
      <c r="A510">
        <v>537</v>
      </c>
      <c r="B510" t="s">
        <v>2405</v>
      </c>
    </row>
    <row r="511" spans="1:2" x14ac:dyDescent="0.4">
      <c r="A511">
        <v>538</v>
      </c>
      <c r="B511" t="s">
        <v>2406</v>
      </c>
    </row>
    <row r="512" spans="1:2" x14ac:dyDescent="0.4">
      <c r="A512">
        <v>539</v>
      </c>
      <c r="B512" s="83"/>
    </row>
    <row r="513" spans="1:2" x14ac:dyDescent="0.4">
      <c r="A513">
        <v>540</v>
      </c>
      <c r="B513" s="83"/>
    </row>
    <row r="514" spans="1:2" x14ac:dyDescent="0.4">
      <c r="A514">
        <v>541</v>
      </c>
      <c r="B514" s="83" t="s">
        <v>2407</v>
      </c>
    </row>
    <row r="515" spans="1:2" x14ac:dyDescent="0.4">
      <c r="A515">
        <v>542</v>
      </c>
    </row>
    <row r="516" spans="1:2" x14ac:dyDescent="0.4">
      <c r="A516">
        <v>543</v>
      </c>
      <c r="B516" t="s">
        <v>2844</v>
      </c>
    </row>
    <row r="517" spans="1:2" x14ac:dyDescent="0.4">
      <c r="A517">
        <v>544</v>
      </c>
      <c r="B517" t="s">
        <v>2408</v>
      </c>
    </row>
    <row r="518" spans="1:2" x14ac:dyDescent="0.4">
      <c r="A518">
        <v>545</v>
      </c>
    </row>
    <row r="519" spans="1:2" x14ac:dyDescent="0.4">
      <c r="A519">
        <v>546</v>
      </c>
    </row>
    <row r="520" spans="1:2" x14ac:dyDescent="0.4">
      <c r="A520">
        <v>547</v>
      </c>
    </row>
    <row r="521" spans="1:2" x14ac:dyDescent="0.4">
      <c r="A521">
        <v>548</v>
      </c>
      <c r="B521" t="s">
        <v>2409</v>
      </c>
    </row>
    <row r="522" spans="1:2" x14ac:dyDescent="0.4">
      <c r="A522">
        <v>549</v>
      </c>
      <c r="B522" t="s">
        <v>2410</v>
      </c>
    </row>
    <row r="523" spans="1:2" x14ac:dyDescent="0.4">
      <c r="A523">
        <v>550</v>
      </c>
      <c r="B523" t="s">
        <v>2845</v>
      </c>
    </row>
    <row r="524" spans="1:2" x14ac:dyDescent="0.4">
      <c r="A524">
        <v>551</v>
      </c>
      <c r="B524" t="s">
        <v>2411</v>
      </c>
    </row>
    <row r="525" spans="1:2" x14ac:dyDescent="0.4">
      <c r="A525">
        <v>552</v>
      </c>
      <c r="B525" s="83" t="s">
        <v>2846</v>
      </c>
    </row>
    <row r="526" spans="1:2" x14ac:dyDescent="0.4">
      <c r="A526">
        <v>553</v>
      </c>
      <c r="B526" t="s">
        <v>2847</v>
      </c>
    </row>
    <row r="527" spans="1:2" x14ac:dyDescent="0.4">
      <c r="A527">
        <v>554</v>
      </c>
      <c r="B527" t="s">
        <v>2848</v>
      </c>
    </row>
    <row r="528" spans="1:2" x14ac:dyDescent="0.4">
      <c r="A528">
        <v>555</v>
      </c>
      <c r="B528" t="s">
        <v>2412</v>
      </c>
    </row>
    <row r="529" spans="1:2" x14ac:dyDescent="0.4">
      <c r="A529">
        <v>556</v>
      </c>
      <c r="B529" t="s">
        <v>2413</v>
      </c>
    </row>
    <row r="530" spans="1:2" x14ac:dyDescent="0.4">
      <c r="A530">
        <v>557</v>
      </c>
      <c r="B530" t="s">
        <v>748</v>
      </c>
    </row>
    <row r="531" spans="1:2" x14ac:dyDescent="0.4">
      <c r="A531">
        <v>558</v>
      </c>
    </row>
    <row r="532" spans="1:2" x14ac:dyDescent="0.4">
      <c r="A532">
        <v>559</v>
      </c>
      <c r="B532" s="83" t="s">
        <v>2414</v>
      </c>
    </row>
    <row r="533" spans="1:2" x14ac:dyDescent="0.4">
      <c r="A533">
        <v>560</v>
      </c>
      <c r="B533" t="s">
        <v>2415</v>
      </c>
    </row>
    <row r="534" spans="1:2" x14ac:dyDescent="0.4">
      <c r="A534">
        <v>561</v>
      </c>
      <c r="B534" t="s">
        <v>2849</v>
      </c>
    </row>
    <row r="535" spans="1:2" x14ac:dyDescent="0.4">
      <c r="A535">
        <v>562</v>
      </c>
      <c r="B535" t="s">
        <v>2416</v>
      </c>
    </row>
    <row r="536" spans="1:2" x14ac:dyDescent="0.4">
      <c r="A536">
        <v>563</v>
      </c>
      <c r="B536" t="s">
        <v>450</v>
      </c>
    </row>
    <row r="537" spans="1:2" x14ac:dyDescent="0.4">
      <c r="A537">
        <v>564</v>
      </c>
      <c r="B537" t="s">
        <v>2417</v>
      </c>
    </row>
    <row r="538" spans="1:2" x14ac:dyDescent="0.4">
      <c r="A538">
        <v>565</v>
      </c>
    </row>
    <row r="539" spans="1:2" x14ac:dyDescent="0.4">
      <c r="A539">
        <v>566</v>
      </c>
      <c r="B539" t="s">
        <v>603</v>
      </c>
    </row>
    <row r="540" spans="1:2" x14ac:dyDescent="0.4">
      <c r="A540">
        <v>567</v>
      </c>
      <c r="B540" t="s">
        <v>2850</v>
      </c>
    </row>
    <row r="541" spans="1:2" x14ac:dyDescent="0.4">
      <c r="A541">
        <v>568</v>
      </c>
      <c r="B541" t="s">
        <v>2418</v>
      </c>
    </row>
    <row r="542" spans="1:2" x14ac:dyDescent="0.4">
      <c r="A542">
        <v>569</v>
      </c>
      <c r="B542" t="s">
        <v>2419</v>
      </c>
    </row>
    <row r="543" spans="1:2" x14ac:dyDescent="0.4">
      <c r="A543">
        <v>570</v>
      </c>
      <c r="B543" t="s">
        <v>2420</v>
      </c>
    </row>
    <row r="544" spans="1:2" x14ac:dyDescent="0.4">
      <c r="A544">
        <v>571</v>
      </c>
      <c r="B544" t="s">
        <v>2421</v>
      </c>
    </row>
    <row r="545" spans="1:2" x14ac:dyDescent="0.4">
      <c r="A545">
        <v>572</v>
      </c>
      <c r="B545" t="s">
        <v>2422</v>
      </c>
    </row>
    <row r="546" spans="1:2" x14ac:dyDescent="0.4">
      <c r="A546">
        <v>573</v>
      </c>
      <c r="B546" t="s">
        <v>2423</v>
      </c>
    </row>
    <row r="547" spans="1:2" x14ac:dyDescent="0.4">
      <c r="A547">
        <v>574</v>
      </c>
      <c r="B547" t="s">
        <v>2424</v>
      </c>
    </row>
    <row r="548" spans="1:2" x14ac:dyDescent="0.4">
      <c r="A548">
        <v>575</v>
      </c>
      <c r="B548" t="s">
        <v>2425</v>
      </c>
    </row>
    <row r="549" spans="1:2" x14ac:dyDescent="0.4">
      <c r="A549">
        <v>576</v>
      </c>
      <c r="B549" t="s">
        <v>2426</v>
      </c>
    </row>
    <row r="550" spans="1:2" x14ac:dyDescent="0.4">
      <c r="A550">
        <v>577</v>
      </c>
      <c r="B550" t="s">
        <v>2427</v>
      </c>
    </row>
    <row r="551" spans="1:2" x14ac:dyDescent="0.4">
      <c r="A551">
        <v>578</v>
      </c>
      <c r="B551" t="s">
        <v>2428</v>
      </c>
    </row>
    <row r="552" spans="1:2" x14ac:dyDescent="0.4">
      <c r="A552">
        <v>579</v>
      </c>
      <c r="B552" t="s">
        <v>2429</v>
      </c>
    </row>
    <row r="553" spans="1:2" x14ac:dyDescent="0.4">
      <c r="A553">
        <v>580</v>
      </c>
      <c r="B553" t="s">
        <v>2430</v>
      </c>
    </row>
    <row r="554" spans="1:2" x14ac:dyDescent="0.4">
      <c r="A554">
        <v>581</v>
      </c>
      <c r="B554" t="s">
        <v>2431</v>
      </c>
    </row>
    <row r="555" spans="1:2" x14ac:dyDescent="0.4">
      <c r="A555">
        <v>582</v>
      </c>
      <c r="B555" t="s">
        <v>2432</v>
      </c>
    </row>
    <row r="556" spans="1:2" x14ac:dyDescent="0.4">
      <c r="A556">
        <v>583</v>
      </c>
      <c r="B556" t="s">
        <v>2433</v>
      </c>
    </row>
    <row r="557" spans="1:2" x14ac:dyDescent="0.4">
      <c r="A557">
        <v>584</v>
      </c>
      <c r="B557" t="s">
        <v>2434</v>
      </c>
    </row>
    <row r="558" spans="1:2" x14ac:dyDescent="0.4">
      <c r="A558">
        <v>585</v>
      </c>
      <c r="B558" t="s">
        <v>2435</v>
      </c>
    </row>
    <row r="559" spans="1:2" x14ac:dyDescent="0.4">
      <c r="A559">
        <v>586</v>
      </c>
      <c r="B559" t="s">
        <v>2436</v>
      </c>
    </row>
    <row r="560" spans="1:2" x14ac:dyDescent="0.4">
      <c r="A560">
        <v>587</v>
      </c>
      <c r="B560" s="83" t="s">
        <v>2437</v>
      </c>
    </row>
    <row r="561" spans="1:2" x14ac:dyDescent="0.4">
      <c r="A561">
        <v>588</v>
      </c>
      <c r="B561" t="s">
        <v>2438</v>
      </c>
    </row>
    <row r="562" spans="1:2" x14ac:dyDescent="0.4">
      <c r="A562">
        <v>589</v>
      </c>
      <c r="B562" t="s">
        <v>2439</v>
      </c>
    </row>
    <row r="563" spans="1:2" x14ac:dyDescent="0.4">
      <c r="A563">
        <v>590</v>
      </c>
      <c r="B563" t="s">
        <v>2440</v>
      </c>
    </row>
    <row r="564" spans="1:2" x14ac:dyDescent="0.4">
      <c r="A564">
        <v>591</v>
      </c>
      <c r="B564" t="s">
        <v>2441</v>
      </c>
    </row>
    <row r="565" spans="1:2" x14ac:dyDescent="0.4">
      <c r="A565">
        <v>592</v>
      </c>
      <c r="B565" t="s">
        <v>2442</v>
      </c>
    </row>
    <row r="566" spans="1:2" x14ac:dyDescent="0.4">
      <c r="A566">
        <v>593</v>
      </c>
    </row>
    <row r="567" spans="1:2" x14ac:dyDescent="0.4">
      <c r="A567">
        <v>594</v>
      </c>
      <c r="B567" t="s">
        <v>2443</v>
      </c>
    </row>
    <row r="568" spans="1:2" x14ac:dyDescent="0.4">
      <c r="A568">
        <v>595</v>
      </c>
      <c r="B568" t="s">
        <v>2851</v>
      </c>
    </row>
    <row r="569" spans="1:2" x14ac:dyDescent="0.4">
      <c r="A569">
        <v>596</v>
      </c>
      <c r="B569" t="s">
        <v>2852</v>
      </c>
    </row>
    <row r="570" spans="1:2" x14ac:dyDescent="0.4">
      <c r="A570">
        <v>597</v>
      </c>
      <c r="B570" t="s">
        <v>858</v>
      </c>
    </row>
    <row r="571" spans="1:2" x14ac:dyDescent="0.4">
      <c r="A571">
        <v>598</v>
      </c>
      <c r="B571" t="s">
        <v>2444</v>
      </c>
    </row>
    <row r="572" spans="1:2" x14ac:dyDescent="0.4">
      <c r="A572">
        <v>599</v>
      </c>
      <c r="B572" t="s">
        <v>2282</v>
      </c>
    </row>
    <row r="573" spans="1:2" x14ac:dyDescent="0.4">
      <c r="A573">
        <v>600</v>
      </c>
      <c r="B573" t="s">
        <v>2445</v>
      </c>
    </row>
    <row r="574" spans="1:2" x14ac:dyDescent="0.4">
      <c r="A574">
        <v>601</v>
      </c>
      <c r="B574" t="s">
        <v>2446</v>
      </c>
    </row>
    <row r="575" spans="1:2" x14ac:dyDescent="0.4">
      <c r="A575">
        <v>602</v>
      </c>
      <c r="B575" s="83" t="s">
        <v>2447</v>
      </c>
    </row>
    <row r="576" spans="1:2" x14ac:dyDescent="0.4">
      <c r="A576">
        <v>603</v>
      </c>
      <c r="B576" t="s">
        <v>2448</v>
      </c>
    </row>
    <row r="577" spans="1:2" x14ac:dyDescent="0.4">
      <c r="A577">
        <v>604</v>
      </c>
      <c r="B577" t="s">
        <v>2449</v>
      </c>
    </row>
    <row r="578" spans="1:2" x14ac:dyDescent="0.4">
      <c r="A578">
        <v>605</v>
      </c>
      <c r="B578" t="s">
        <v>2450</v>
      </c>
    </row>
    <row r="579" spans="1:2" x14ac:dyDescent="0.4">
      <c r="A579">
        <v>606</v>
      </c>
      <c r="B579" t="s">
        <v>2451</v>
      </c>
    </row>
    <row r="580" spans="1:2" x14ac:dyDescent="0.4">
      <c r="A580">
        <v>607</v>
      </c>
      <c r="B580" t="s">
        <v>2452</v>
      </c>
    </row>
    <row r="581" spans="1:2" x14ac:dyDescent="0.4">
      <c r="A581">
        <v>608</v>
      </c>
    </row>
    <row r="582" spans="1:2" x14ac:dyDescent="0.4">
      <c r="A582">
        <v>609</v>
      </c>
      <c r="B582" t="s">
        <v>2453</v>
      </c>
    </row>
    <row r="583" spans="1:2" x14ac:dyDescent="0.4">
      <c r="A583">
        <v>610</v>
      </c>
      <c r="B583" t="s">
        <v>2454</v>
      </c>
    </row>
    <row r="584" spans="1:2" x14ac:dyDescent="0.4">
      <c r="A584">
        <v>611</v>
      </c>
      <c r="B584" t="s">
        <v>2455</v>
      </c>
    </row>
    <row r="585" spans="1:2" x14ac:dyDescent="0.4">
      <c r="A585">
        <v>612</v>
      </c>
      <c r="B585" t="s">
        <v>2456</v>
      </c>
    </row>
    <row r="586" spans="1:2" x14ac:dyDescent="0.4">
      <c r="A586">
        <v>613</v>
      </c>
      <c r="B586" t="s">
        <v>2853</v>
      </c>
    </row>
    <row r="587" spans="1:2" x14ac:dyDescent="0.4">
      <c r="A587">
        <v>614</v>
      </c>
      <c r="B587" t="s">
        <v>2457</v>
      </c>
    </row>
    <row r="588" spans="1:2" x14ac:dyDescent="0.4">
      <c r="A588">
        <v>615</v>
      </c>
      <c r="B588" t="s">
        <v>2458</v>
      </c>
    </row>
    <row r="589" spans="1:2" x14ac:dyDescent="0.4">
      <c r="A589">
        <v>616</v>
      </c>
      <c r="B589" t="s">
        <v>2459</v>
      </c>
    </row>
    <row r="590" spans="1:2" x14ac:dyDescent="0.4">
      <c r="A590">
        <v>617</v>
      </c>
      <c r="B590" s="83" t="s">
        <v>2460</v>
      </c>
    </row>
    <row r="591" spans="1:2" x14ac:dyDescent="0.4">
      <c r="A591">
        <v>618</v>
      </c>
      <c r="B591" t="s">
        <v>2854</v>
      </c>
    </row>
    <row r="592" spans="1:2" x14ac:dyDescent="0.4">
      <c r="A592">
        <v>619</v>
      </c>
      <c r="B592" s="83" t="s">
        <v>2461</v>
      </c>
    </row>
    <row r="593" spans="1:2" x14ac:dyDescent="0.4">
      <c r="A593">
        <v>620</v>
      </c>
      <c r="B593" t="s">
        <v>2462</v>
      </c>
    </row>
    <row r="594" spans="1:2" x14ac:dyDescent="0.4">
      <c r="A594">
        <v>621</v>
      </c>
      <c r="B594" t="s">
        <v>2463</v>
      </c>
    </row>
    <row r="595" spans="1:2" x14ac:dyDescent="0.4">
      <c r="A595">
        <v>622</v>
      </c>
      <c r="B595" t="s">
        <v>2464</v>
      </c>
    </row>
    <row r="596" spans="1:2" x14ac:dyDescent="0.4">
      <c r="A596">
        <v>623</v>
      </c>
    </row>
    <row r="597" spans="1:2" x14ac:dyDescent="0.4">
      <c r="A597">
        <v>624</v>
      </c>
      <c r="B597" t="s">
        <v>2855</v>
      </c>
    </row>
    <row r="598" spans="1:2" x14ac:dyDescent="0.4">
      <c r="A598">
        <v>625</v>
      </c>
      <c r="B598" s="83"/>
    </row>
    <row r="599" spans="1:2" x14ac:dyDescent="0.4">
      <c r="A599">
        <v>626</v>
      </c>
      <c r="B599" t="s">
        <v>2856</v>
      </c>
    </row>
    <row r="600" spans="1:2" x14ac:dyDescent="0.4">
      <c r="A600">
        <v>627</v>
      </c>
      <c r="B600" t="s">
        <v>2465</v>
      </c>
    </row>
    <row r="601" spans="1:2" x14ac:dyDescent="0.4">
      <c r="A601">
        <v>628</v>
      </c>
      <c r="B601" t="s">
        <v>2466</v>
      </c>
    </row>
    <row r="602" spans="1:2" x14ac:dyDescent="0.4">
      <c r="A602">
        <v>629</v>
      </c>
      <c r="B602" s="83" t="s">
        <v>2467</v>
      </c>
    </row>
    <row r="603" spans="1:2" x14ac:dyDescent="0.4">
      <c r="A603">
        <v>630</v>
      </c>
      <c r="B603" s="83" t="s">
        <v>2468</v>
      </c>
    </row>
    <row r="604" spans="1:2" x14ac:dyDescent="0.4">
      <c r="A604">
        <v>631</v>
      </c>
    </row>
    <row r="605" spans="1:2" x14ac:dyDescent="0.4">
      <c r="A605">
        <v>632</v>
      </c>
      <c r="B605" t="s">
        <v>2469</v>
      </c>
    </row>
    <row r="606" spans="1:2" x14ac:dyDescent="0.4">
      <c r="A606">
        <v>633</v>
      </c>
      <c r="B606" t="s">
        <v>2470</v>
      </c>
    </row>
    <row r="607" spans="1:2" x14ac:dyDescent="0.4">
      <c r="A607">
        <v>634</v>
      </c>
      <c r="B607" t="s">
        <v>2857</v>
      </c>
    </row>
    <row r="608" spans="1:2" x14ac:dyDescent="0.4">
      <c r="A608">
        <v>635</v>
      </c>
    </row>
    <row r="609" spans="1:2" x14ac:dyDescent="0.4">
      <c r="A609">
        <v>636</v>
      </c>
    </row>
    <row r="610" spans="1:2" x14ac:dyDescent="0.4">
      <c r="A610">
        <v>637</v>
      </c>
      <c r="B610" t="s">
        <v>2858</v>
      </c>
    </row>
    <row r="611" spans="1:2" x14ac:dyDescent="0.4">
      <c r="A611">
        <v>638</v>
      </c>
      <c r="B611" s="83" t="s">
        <v>2471</v>
      </c>
    </row>
    <row r="612" spans="1:2" x14ac:dyDescent="0.4">
      <c r="A612">
        <v>639</v>
      </c>
      <c r="B612" t="s">
        <v>2472</v>
      </c>
    </row>
    <row r="613" spans="1:2" x14ac:dyDescent="0.4">
      <c r="A613">
        <v>640</v>
      </c>
      <c r="B613" t="s">
        <v>2473</v>
      </c>
    </row>
    <row r="614" spans="1:2" x14ac:dyDescent="0.4">
      <c r="A614">
        <v>641</v>
      </c>
      <c r="B614" t="s">
        <v>2859</v>
      </c>
    </row>
    <row r="615" spans="1:2" x14ac:dyDescent="0.4">
      <c r="A615">
        <v>642</v>
      </c>
      <c r="B615" t="s">
        <v>2474</v>
      </c>
    </row>
    <row r="616" spans="1:2" x14ac:dyDescent="0.4">
      <c r="A616">
        <v>643</v>
      </c>
      <c r="B616" t="s">
        <v>2475</v>
      </c>
    </row>
    <row r="617" spans="1:2" x14ac:dyDescent="0.4">
      <c r="A617">
        <v>644</v>
      </c>
    </row>
    <row r="618" spans="1:2" x14ac:dyDescent="0.4">
      <c r="A618">
        <v>645</v>
      </c>
      <c r="B618" s="83" t="s">
        <v>2476</v>
      </c>
    </row>
    <row r="619" spans="1:2" x14ac:dyDescent="0.4">
      <c r="A619">
        <v>646</v>
      </c>
      <c r="B619" t="s">
        <v>2477</v>
      </c>
    </row>
    <row r="620" spans="1:2" x14ac:dyDescent="0.4">
      <c r="A620">
        <v>647</v>
      </c>
      <c r="B620" t="s">
        <v>2478</v>
      </c>
    </row>
    <row r="621" spans="1:2" x14ac:dyDescent="0.4">
      <c r="A621">
        <v>648</v>
      </c>
      <c r="B621" t="s">
        <v>2479</v>
      </c>
    </row>
    <row r="622" spans="1:2" x14ac:dyDescent="0.4">
      <c r="A622">
        <v>649</v>
      </c>
      <c r="B622" t="s">
        <v>2480</v>
      </c>
    </row>
    <row r="623" spans="1:2" x14ac:dyDescent="0.4">
      <c r="A623">
        <v>650</v>
      </c>
      <c r="B623" t="s">
        <v>2481</v>
      </c>
    </row>
    <row r="624" spans="1:2" x14ac:dyDescent="0.4">
      <c r="A624">
        <v>651</v>
      </c>
    </row>
    <row r="625" spans="1:2" x14ac:dyDescent="0.4">
      <c r="A625">
        <v>652</v>
      </c>
      <c r="B625" t="s">
        <v>2860</v>
      </c>
    </row>
    <row r="626" spans="1:2" x14ac:dyDescent="0.4">
      <c r="A626">
        <v>653</v>
      </c>
      <c r="B626" t="s">
        <v>2482</v>
      </c>
    </row>
    <row r="627" spans="1:2" x14ac:dyDescent="0.4">
      <c r="A627">
        <v>654</v>
      </c>
      <c r="B627" t="s">
        <v>2483</v>
      </c>
    </row>
    <row r="628" spans="1:2" x14ac:dyDescent="0.4">
      <c r="A628">
        <v>655</v>
      </c>
      <c r="B628" t="s">
        <v>2484</v>
      </c>
    </row>
    <row r="629" spans="1:2" x14ac:dyDescent="0.4">
      <c r="A629">
        <v>656</v>
      </c>
      <c r="B629" t="s">
        <v>2485</v>
      </c>
    </row>
    <row r="630" spans="1:2" x14ac:dyDescent="0.4">
      <c r="A630">
        <v>657</v>
      </c>
      <c r="B630" t="s">
        <v>2486</v>
      </c>
    </row>
    <row r="631" spans="1:2" x14ac:dyDescent="0.4">
      <c r="A631">
        <v>658</v>
      </c>
      <c r="B631" t="s">
        <v>2861</v>
      </c>
    </row>
    <row r="632" spans="1:2" x14ac:dyDescent="0.4">
      <c r="A632">
        <v>659</v>
      </c>
      <c r="B632" t="s">
        <v>2487</v>
      </c>
    </row>
    <row r="633" spans="1:2" x14ac:dyDescent="0.4">
      <c r="A633">
        <v>660</v>
      </c>
      <c r="B633" s="83" t="s">
        <v>2488</v>
      </c>
    </row>
    <row r="634" spans="1:2" x14ac:dyDescent="0.4">
      <c r="A634">
        <v>661</v>
      </c>
      <c r="B634" s="83" t="s">
        <v>2862</v>
      </c>
    </row>
    <row r="635" spans="1:2" x14ac:dyDescent="0.4">
      <c r="A635">
        <v>662</v>
      </c>
      <c r="B635" t="s">
        <v>2489</v>
      </c>
    </row>
    <row r="636" spans="1:2" x14ac:dyDescent="0.4">
      <c r="A636">
        <v>663</v>
      </c>
      <c r="B636" t="s">
        <v>2490</v>
      </c>
    </row>
    <row r="637" spans="1:2" x14ac:dyDescent="0.4">
      <c r="A637">
        <v>664</v>
      </c>
      <c r="B637" t="s">
        <v>2491</v>
      </c>
    </row>
    <row r="638" spans="1:2" x14ac:dyDescent="0.4">
      <c r="A638">
        <v>665</v>
      </c>
      <c r="B638" t="s">
        <v>2863</v>
      </c>
    </row>
    <row r="639" spans="1:2" x14ac:dyDescent="0.4">
      <c r="A639">
        <v>666</v>
      </c>
    </row>
    <row r="640" spans="1:2" x14ac:dyDescent="0.4">
      <c r="A640">
        <v>667</v>
      </c>
    </row>
    <row r="641" spans="1:2" x14ac:dyDescent="0.4">
      <c r="A641">
        <v>668</v>
      </c>
      <c r="B641" t="s">
        <v>2492</v>
      </c>
    </row>
    <row r="642" spans="1:2" x14ac:dyDescent="0.4">
      <c r="A642">
        <v>669</v>
      </c>
      <c r="B642" t="s">
        <v>2864</v>
      </c>
    </row>
    <row r="643" spans="1:2" x14ac:dyDescent="0.4">
      <c r="A643">
        <v>670</v>
      </c>
      <c r="B643" t="s">
        <v>2865</v>
      </c>
    </row>
    <row r="644" spans="1:2" x14ac:dyDescent="0.4">
      <c r="A644">
        <v>671</v>
      </c>
      <c r="B644" t="s">
        <v>2493</v>
      </c>
    </row>
    <row r="645" spans="1:2" x14ac:dyDescent="0.4">
      <c r="A645">
        <v>672</v>
      </c>
      <c r="B645" t="s">
        <v>2494</v>
      </c>
    </row>
    <row r="646" spans="1:2" x14ac:dyDescent="0.4">
      <c r="A646">
        <v>673</v>
      </c>
      <c r="B646" t="s">
        <v>2495</v>
      </c>
    </row>
    <row r="647" spans="1:2" x14ac:dyDescent="0.4">
      <c r="A647">
        <v>674</v>
      </c>
      <c r="B647" t="s">
        <v>2496</v>
      </c>
    </row>
    <row r="648" spans="1:2" x14ac:dyDescent="0.4">
      <c r="A648">
        <v>675</v>
      </c>
      <c r="B648" t="s">
        <v>2497</v>
      </c>
    </row>
    <row r="649" spans="1:2" x14ac:dyDescent="0.4">
      <c r="A649">
        <v>676</v>
      </c>
      <c r="B649" t="s">
        <v>2498</v>
      </c>
    </row>
    <row r="650" spans="1:2" x14ac:dyDescent="0.4">
      <c r="A650">
        <v>677</v>
      </c>
      <c r="B650" t="s">
        <v>2866</v>
      </c>
    </row>
    <row r="651" spans="1:2" x14ac:dyDescent="0.4">
      <c r="A651">
        <v>678</v>
      </c>
      <c r="B651" t="s">
        <v>2867</v>
      </c>
    </row>
    <row r="652" spans="1:2" x14ac:dyDescent="0.4">
      <c r="A652">
        <v>679</v>
      </c>
      <c r="B652" t="s">
        <v>2499</v>
      </c>
    </row>
    <row r="653" spans="1:2" x14ac:dyDescent="0.4">
      <c r="A653">
        <v>680</v>
      </c>
      <c r="B653" t="s">
        <v>2500</v>
      </c>
    </row>
    <row r="654" spans="1:2" x14ac:dyDescent="0.4">
      <c r="A654">
        <v>681</v>
      </c>
      <c r="B654" t="s">
        <v>2501</v>
      </c>
    </row>
    <row r="655" spans="1:2" x14ac:dyDescent="0.4">
      <c r="A655">
        <v>682</v>
      </c>
      <c r="B655" t="s">
        <v>2502</v>
      </c>
    </row>
    <row r="656" spans="1:2" x14ac:dyDescent="0.4">
      <c r="A656">
        <v>683</v>
      </c>
      <c r="B656" t="s">
        <v>2868</v>
      </c>
    </row>
    <row r="657" spans="1:2" x14ac:dyDescent="0.4">
      <c r="A657">
        <v>684</v>
      </c>
      <c r="B657" s="83" t="s">
        <v>2869</v>
      </c>
    </row>
    <row r="658" spans="1:2" x14ac:dyDescent="0.4">
      <c r="A658">
        <v>685</v>
      </c>
      <c r="B658" t="s">
        <v>657</v>
      </c>
    </row>
    <row r="659" spans="1:2" x14ac:dyDescent="0.4">
      <c r="A659">
        <v>686</v>
      </c>
      <c r="B659" t="s">
        <v>2503</v>
      </c>
    </row>
    <row r="660" spans="1:2" x14ac:dyDescent="0.4">
      <c r="A660">
        <v>687</v>
      </c>
      <c r="B660" t="s">
        <v>2504</v>
      </c>
    </row>
    <row r="661" spans="1:2" x14ac:dyDescent="0.4">
      <c r="A661">
        <v>688</v>
      </c>
      <c r="B661" t="s">
        <v>2505</v>
      </c>
    </row>
    <row r="662" spans="1:2" x14ac:dyDescent="0.4">
      <c r="A662">
        <v>689</v>
      </c>
      <c r="B662" t="s">
        <v>2870</v>
      </c>
    </row>
    <row r="663" spans="1:2" x14ac:dyDescent="0.4">
      <c r="A663">
        <v>690</v>
      </c>
    </row>
    <row r="664" spans="1:2" x14ac:dyDescent="0.4">
      <c r="A664">
        <v>691</v>
      </c>
      <c r="B664" t="s">
        <v>2506</v>
      </c>
    </row>
    <row r="665" spans="1:2" x14ac:dyDescent="0.4">
      <c r="A665">
        <v>692</v>
      </c>
      <c r="B665" t="s">
        <v>2507</v>
      </c>
    </row>
    <row r="666" spans="1:2" x14ac:dyDescent="0.4">
      <c r="A666">
        <v>693</v>
      </c>
      <c r="B666" t="s">
        <v>2508</v>
      </c>
    </row>
    <row r="667" spans="1:2" x14ac:dyDescent="0.4">
      <c r="A667">
        <v>694</v>
      </c>
      <c r="B667" t="s">
        <v>2509</v>
      </c>
    </row>
    <row r="668" spans="1:2" x14ac:dyDescent="0.4">
      <c r="A668">
        <v>695</v>
      </c>
      <c r="B668" s="83" t="s">
        <v>2510</v>
      </c>
    </row>
    <row r="669" spans="1:2" x14ac:dyDescent="0.4">
      <c r="A669">
        <v>696</v>
      </c>
      <c r="B669" t="s">
        <v>2511</v>
      </c>
    </row>
    <row r="670" spans="1:2" x14ac:dyDescent="0.4">
      <c r="A670">
        <v>697</v>
      </c>
      <c r="B670" t="s">
        <v>720</v>
      </c>
    </row>
    <row r="671" spans="1:2" x14ac:dyDescent="0.4">
      <c r="A671">
        <v>698</v>
      </c>
      <c r="B671" t="s">
        <v>2871</v>
      </c>
    </row>
    <row r="672" spans="1:2" x14ac:dyDescent="0.4">
      <c r="A672">
        <v>699</v>
      </c>
      <c r="B672" t="s">
        <v>2512</v>
      </c>
    </row>
    <row r="673" spans="1:2" x14ac:dyDescent="0.4">
      <c r="A673">
        <v>700</v>
      </c>
      <c r="B673" t="s">
        <v>2513</v>
      </c>
    </row>
    <row r="674" spans="1:2" x14ac:dyDescent="0.4">
      <c r="A674">
        <v>701</v>
      </c>
      <c r="B674" s="83"/>
    </row>
    <row r="675" spans="1:2" x14ac:dyDescent="0.4">
      <c r="A675">
        <v>702</v>
      </c>
      <c r="B675" t="s">
        <v>2872</v>
      </c>
    </row>
    <row r="676" spans="1:2" x14ac:dyDescent="0.4">
      <c r="A676">
        <v>703</v>
      </c>
      <c r="B676" s="83" t="s">
        <v>2514</v>
      </c>
    </row>
    <row r="677" spans="1:2" x14ac:dyDescent="0.4">
      <c r="A677">
        <v>704</v>
      </c>
      <c r="B677" s="83" t="s">
        <v>2515</v>
      </c>
    </row>
    <row r="678" spans="1:2" x14ac:dyDescent="0.4">
      <c r="A678">
        <v>705</v>
      </c>
      <c r="B678" s="83" t="s">
        <v>2516</v>
      </c>
    </row>
    <row r="679" spans="1:2" x14ac:dyDescent="0.4">
      <c r="A679">
        <v>706</v>
      </c>
      <c r="B679" t="s">
        <v>2517</v>
      </c>
    </row>
    <row r="680" spans="1:2" x14ac:dyDescent="0.4">
      <c r="A680">
        <v>707</v>
      </c>
      <c r="B680" s="83"/>
    </row>
    <row r="681" spans="1:2" x14ac:dyDescent="0.4">
      <c r="A681">
        <v>708</v>
      </c>
      <c r="B681" t="s">
        <v>2518</v>
      </c>
    </row>
    <row r="682" spans="1:2" x14ac:dyDescent="0.4">
      <c r="A682">
        <v>709</v>
      </c>
    </row>
    <row r="683" spans="1:2" x14ac:dyDescent="0.4">
      <c r="A683">
        <v>710</v>
      </c>
      <c r="B683" s="83"/>
    </row>
    <row r="684" spans="1:2" x14ac:dyDescent="0.4">
      <c r="A684">
        <v>711</v>
      </c>
    </row>
    <row r="685" spans="1:2" x14ac:dyDescent="0.4">
      <c r="A685">
        <v>712</v>
      </c>
      <c r="B685" t="s">
        <v>2519</v>
      </c>
    </row>
    <row r="686" spans="1:2" x14ac:dyDescent="0.4">
      <c r="A686">
        <v>713</v>
      </c>
    </row>
    <row r="687" spans="1:2" x14ac:dyDescent="0.4">
      <c r="A687">
        <v>714</v>
      </c>
      <c r="B687" s="83" t="s">
        <v>2520</v>
      </c>
    </row>
    <row r="688" spans="1:2" x14ac:dyDescent="0.4">
      <c r="A688">
        <v>715</v>
      </c>
      <c r="B688" t="s">
        <v>2521</v>
      </c>
    </row>
    <row r="689" spans="1:2" x14ac:dyDescent="0.4">
      <c r="A689">
        <v>716</v>
      </c>
    </row>
    <row r="690" spans="1:2" x14ac:dyDescent="0.4">
      <c r="A690">
        <v>717</v>
      </c>
      <c r="B690" t="s">
        <v>2522</v>
      </c>
    </row>
    <row r="691" spans="1:2" x14ac:dyDescent="0.4">
      <c r="A691">
        <v>718</v>
      </c>
      <c r="B691" t="s">
        <v>2523</v>
      </c>
    </row>
    <row r="692" spans="1:2" x14ac:dyDescent="0.4">
      <c r="A692">
        <v>719</v>
      </c>
      <c r="B692" t="s">
        <v>2524</v>
      </c>
    </row>
    <row r="693" spans="1:2" x14ac:dyDescent="0.4">
      <c r="A693">
        <v>720</v>
      </c>
    </row>
    <row r="694" spans="1:2" x14ac:dyDescent="0.4">
      <c r="A694">
        <v>721</v>
      </c>
      <c r="B694" t="s">
        <v>2873</v>
      </c>
    </row>
    <row r="695" spans="1:2" x14ac:dyDescent="0.4">
      <c r="A695">
        <v>722</v>
      </c>
      <c r="B695" t="s">
        <v>2525</v>
      </c>
    </row>
    <row r="696" spans="1:2" x14ac:dyDescent="0.4">
      <c r="A696">
        <v>723</v>
      </c>
      <c r="B696" s="83" t="s">
        <v>2526</v>
      </c>
    </row>
    <row r="697" spans="1:2" x14ac:dyDescent="0.4">
      <c r="A697">
        <v>724</v>
      </c>
      <c r="B697" t="s">
        <v>2527</v>
      </c>
    </row>
    <row r="698" spans="1:2" x14ac:dyDescent="0.4">
      <c r="A698">
        <v>725</v>
      </c>
      <c r="B698" s="83" t="s">
        <v>2874</v>
      </c>
    </row>
    <row r="699" spans="1:2" x14ac:dyDescent="0.4">
      <c r="A699">
        <v>726</v>
      </c>
      <c r="B699" s="83" t="s">
        <v>2528</v>
      </c>
    </row>
    <row r="700" spans="1:2" x14ac:dyDescent="0.4">
      <c r="A700">
        <v>727</v>
      </c>
      <c r="B700" t="s">
        <v>2529</v>
      </c>
    </row>
    <row r="701" spans="1:2" x14ac:dyDescent="0.4">
      <c r="A701">
        <v>728</v>
      </c>
      <c r="B701" t="s">
        <v>2875</v>
      </c>
    </row>
    <row r="702" spans="1:2" x14ac:dyDescent="0.4">
      <c r="A702">
        <v>729</v>
      </c>
    </row>
    <row r="703" spans="1:2" x14ac:dyDescent="0.4">
      <c r="A703">
        <v>730</v>
      </c>
      <c r="B703" t="s">
        <v>2530</v>
      </c>
    </row>
    <row r="704" spans="1:2" x14ac:dyDescent="0.4">
      <c r="A704">
        <v>731</v>
      </c>
    </row>
    <row r="705" spans="1:2" x14ac:dyDescent="0.4">
      <c r="A705">
        <v>732</v>
      </c>
    </row>
    <row r="706" spans="1:2" x14ac:dyDescent="0.4">
      <c r="A706">
        <v>733</v>
      </c>
      <c r="B706" t="s">
        <v>2531</v>
      </c>
    </row>
    <row r="707" spans="1:2" x14ac:dyDescent="0.4">
      <c r="A707">
        <v>734</v>
      </c>
      <c r="B707" t="s">
        <v>2532</v>
      </c>
    </row>
    <row r="708" spans="1:2" x14ac:dyDescent="0.4">
      <c r="A708">
        <v>735</v>
      </c>
      <c r="B708" t="s">
        <v>2533</v>
      </c>
    </row>
    <row r="709" spans="1:2" x14ac:dyDescent="0.4">
      <c r="A709">
        <v>736</v>
      </c>
      <c r="B709" s="83" t="s">
        <v>2534</v>
      </c>
    </row>
    <row r="710" spans="1:2" x14ac:dyDescent="0.4">
      <c r="A710">
        <v>737</v>
      </c>
      <c r="B710" t="s">
        <v>2535</v>
      </c>
    </row>
    <row r="711" spans="1:2" x14ac:dyDescent="0.4">
      <c r="A711">
        <v>738</v>
      </c>
      <c r="B711" t="s">
        <v>2536</v>
      </c>
    </row>
    <row r="712" spans="1:2" x14ac:dyDescent="0.4">
      <c r="A712">
        <v>739</v>
      </c>
      <c r="B712" t="s">
        <v>2537</v>
      </c>
    </row>
    <row r="713" spans="1:2" x14ac:dyDescent="0.4">
      <c r="A713">
        <v>740</v>
      </c>
      <c r="B713" t="s">
        <v>2538</v>
      </c>
    </row>
    <row r="714" spans="1:2" x14ac:dyDescent="0.4">
      <c r="A714">
        <v>741</v>
      </c>
      <c r="B714" t="s">
        <v>2539</v>
      </c>
    </row>
    <row r="715" spans="1:2" x14ac:dyDescent="0.4">
      <c r="A715">
        <v>742</v>
      </c>
    </row>
    <row r="716" spans="1:2" x14ac:dyDescent="0.4">
      <c r="A716">
        <v>743</v>
      </c>
      <c r="B716" t="s">
        <v>2473</v>
      </c>
    </row>
    <row r="717" spans="1:2" x14ac:dyDescent="0.4">
      <c r="A717">
        <v>744</v>
      </c>
      <c r="B717" t="s">
        <v>2540</v>
      </c>
    </row>
    <row r="718" spans="1:2" x14ac:dyDescent="0.4">
      <c r="A718">
        <v>745</v>
      </c>
      <c r="B718" t="s">
        <v>2541</v>
      </c>
    </row>
    <row r="719" spans="1:2" x14ac:dyDescent="0.4">
      <c r="A719">
        <v>746</v>
      </c>
      <c r="B719" t="s">
        <v>2542</v>
      </c>
    </row>
    <row r="720" spans="1:2" x14ac:dyDescent="0.4">
      <c r="A720">
        <v>747</v>
      </c>
      <c r="B720" t="s">
        <v>2543</v>
      </c>
    </row>
    <row r="721" spans="1:2" x14ac:dyDescent="0.4">
      <c r="A721">
        <v>748</v>
      </c>
      <c r="B721" t="s">
        <v>2544</v>
      </c>
    </row>
    <row r="722" spans="1:2" x14ac:dyDescent="0.4">
      <c r="A722">
        <v>749</v>
      </c>
      <c r="B722" t="s">
        <v>2545</v>
      </c>
    </row>
    <row r="723" spans="1:2" x14ac:dyDescent="0.4">
      <c r="A723">
        <v>750</v>
      </c>
      <c r="B723" t="s">
        <v>2546</v>
      </c>
    </row>
    <row r="724" spans="1:2" x14ac:dyDescent="0.4">
      <c r="A724">
        <v>751</v>
      </c>
      <c r="B724" s="83" t="s">
        <v>2876</v>
      </c>
    </row>
    <row r="725" spans="1:2" x14ac:dyDescent="0.4">
      <c r="A725">
        <v>752</v>
      </c>
      <c r="B725" t="s">
        <v>2547</v>
      </c>
    </row>
    <row r="726" spans="1:2" x14ac:dyDescent="0.4">
      <c r="A726">
        <v>753</v>
      </c>
      <c r="B726" s="83" t="s">
        <v>2548</v>
      </c>
    </row>
    <row r="727" spans="1:2" x14ac:dyDescent="0.4">
      <c r="A727">
        <v>754</v>
      </c>
      <c r="B727" t="s">
        <v>2549</v>
      </c>
    </row>
    <row r="728" spans="1:2" x14ac:dyDescent="0.4">
      <c r="A728">
        <v>755</v>
      </c>
      <c r="B728" t="s">
        <v>2550</v>
      </c>
    </row>
    <row r="729" spans="1:2" x14ac:dyDescent="0.4">
      <c r="A729">
        <v>756</v>
      </c>
      <c r="B729" s="83" t="s">
        <v>2877</v>
      </c>
    </row>
    <row r="730" spans="1:2" x14ac:dyDescent="0.4">
      <c r="A730">
        <v>757</v>
      </c>
    </row>
    <row r="731" spans="1:2" x14ac:dyDescent="0.4">
      <c r="A731">
        <v>758</v>
      </c>
      <c r="B731" s="83" t="s">
        <v>2551</v>
      </c>
    </row>
    <row r="732" spans="1:2" x14ac:dyDescent="0.4">
      <c r="A732">
        <v>759</v>
      </c>
      <c r="B732" s="83"/>
    </row>
    <row r="733" spans="1:2" x14ac:dyDescent="0.4">
      <c r="A733">
        <v>760</v>
      </c>
      <c r="B733" t="s">
        <v>2552</v>
      </c>
    </row>
    <row r="734" spans="1:2" x14ac:dyDescent="0.4">
      <c r="A734">
        <v>761</v>
      </c>
      <c r="B734" t="s">
        <v>2878</v>
      </c>
    </row>
    <row r="735" spans="1:2" x14ac:dyDescent="0.4">
      <c r="A735">
        <v>762</v>
      </c>
    </row>
    <row r="736" spans="1:2" x14ac:dyDescent="0.4">
      <c r="A736">
        <v>763</v>
      </c>
      <c r="B736" s="83" t="s">
        <v>2553</v>
      </c>
    </row>
    <row r="737" spans="1:2" x14ac:dyDescent="0.4">
      <c r="A737">
        <v>764</v>
      </c>
    </row>
    <row r="738" spans="1:2" x14ac:dyDescent="0.4">
      <c r="A738">
        <v>765</v>
      </c>
      <c r="B738" s="83"/>
    </row>
    <row r="739" spans="1:2" x14ac:dyDescent="0.4">
      <c r="A739">
        <v>766</v>
      </c>
      <c r="B739" t="s">
        <v>2554</v>
      </c>
    </row>
    <row r="740" spans="1:2" x14ac:dyDescent="0.4">
      <c r="A740">
        <v>767</v>
      </c>
      <c r="B740" s="83" t="s">
        <v>2555</v>
      </c>
    </row>
    <row r="741" spans="1:2" x14ac:dyDescent="0.4">
      <c r="A741">
        <v>768</v>
      </c>
      <c r="B741" t="s">
        <v>2556</v>
      </c>
    </row>
    <row r="742" spans="1:2" x14ac:dyDescent="0.4">
      <c r="A742">
        <v>769</v>
      </c>
    </row>
    <row r="743" spans="1:2" x14ac:dyDescent="0.4">
      <c r="A743">
        <v>770</v>
      </c>
      <c r="B743" t="s">
        <v>2557</v>
      </c>
    </row>
    <row r="744" spans="1:2" x14ac:dyDescent="0.4">
      <c r="A744">
        <v>771</v>
      </c>
    </row>
    <row r="745" spans="1:2" x14ac:dyDescent="0.4">
      <c r="A745">
        <v>772</v>
      </c>
      <c r="B745" t="s">
        <v>2558</v>
      </c>
    </row>
    <row r="746" spans="1:2" x14ac:dyDescent="0.4">
      <c r="A746">
        <v>773</v>
      </c>
    </row>
    <row r="747" spans="1:2" x14ac:dyDescent="0.4">
      <c r="A747">
        <v>774</v>
      </c>
      <c r="B747" t="s">
        <v>2559</v>
      </c>
    </row>
    <row r="748" spans="1:2" x14ac:dyDescent="0.4">
      <c r="A748">
        <v>775</v>
      </c>
      <c r="B748" t="s">
        <v>2560</v>
      </c>
    </row>
    <row r="749" spans="1:2" x14ac:dyDescent="0.4">
      <c r="A749">
        <v>776</v>
      </c>
      <c r="B749" t="s">
        <v>2561</v>
      </c>
    </row>
    <row r="750" spans="1:2" x14ac:dyDescent="0.4">
      <c r="A750">
        <v>777</v>
      </c>
      <c r="B750" t="s">
        <v>2562</v>
      </c>
    </row>
    <row r="751" spans="1:2" x14ac:dyDescent="0.4">
      <c r="A751">
        <v>778</v>
      </c>
      <c r="B751" t="s">
        <v>2879</v>
      </c>
    </row>
    <row r="752" spans="1:2" x14ac:dyDescent="0.4">
      <c r="A752">
        <v>779</v>
      </c>
      <c r="B752" s="83" t="s">
        <v>2880</v>
      </c>
    </row>
    <row r="753" spans="1:2" x14ac:dyDescent="0.4">
      <c r="A753">
        <v>780</v>
      </c>
      <c r="B753" s="83" t="s">
        <v>718</v>
      </c>
    </row>
    <row r="754" spans="1:2" x14ac:dyDescent="0.4">
      <c r="A754">
        <v>781</v>
      </c>
      <c r="B754" t="s">
        <v>2881</v>
      </c>
    </row>
    <row r="755" spans="1:2" x14ac:dyDescent="0.4">
      <c r="A755">
        <v>782</v>
      </c>
      <c r="B755" t="s">
        <v>817</v>
      </c>
    </row>
    <row r="756" spans="1:2" x14ac:dyDescent="0.4">
      <c r="A756">
        <v>783</v>
      </c>
      <c r="B756" t="s">
        <v>2563</v>
      </c>
    </row>
    <row r="757" spans="1:2" x14ac:dyDescent="0.4">
      <c r="A757">
        <v>784</v>
      </c>
      <c r="B757" t="s">
        <v>2564</v>
      </c>
    </row>
    <row r="758" spans="1:2" x14ac:dyDescent="0.4">
      <c r="A758">
        <v>785</v>
      </c>
    </row>
    <row r="759" spans="1:2" x14ac:dyDescent="0.4">
      <c r="A759">
        <v>786</v>
      </c>
      <c r="B759" s="83"/>
    </row>
    <row r="760" spans="1:2" x14ac:dyDescent="0.4">
      <c r="A760">
        <v>787</v>
      </c>
      <c r="B760" t="s">
        <v>2565</v>
      </c>
    </row>
    <row r="761" spans="1:2" x14ac:dyDescent="0.4">
      <c r="A761">
        <v>788</v>
      </c>
      <c r="B761" t="s">
        <v>2882</v>
      </c>
    </row>
    <row r="762" spans="1:2" x14ac:dyDescent="0.4">
      <c r="A762">
        <v>789</v>
      </c>
      <c r="B762" s="83" t="s">
        <v>2832</v>
      </c>
    </row>
    <row r="763" spans="1:2" x14ac:dyDescent="0.4">
      <c r="A763">
        <v>790</v>
      </c>
      <c r="B763" t="s">
        <v>2566</v>
      </c>
    </row>
    <row r="764" spans="1:2" x14ac:dyDescent="0.4">
      <c r="A764">
        <v>791</v>
      </c>
      <c r="B764" t="s">
        <v>2567</v>
      </c>
    </row>
    <row r="765" spans="1:2" x14ac:dyDescent="0.4">
      <c r="A765">
        <v>792</v>
      </c>
    </row>
    <row r="766" spans="1:2" x14ac:dyDescent="0.4">
      <c r="A766">
        <v>793</v>
      </c>
      <c r="B766" s="83" t="s">
        <v>2568</v>
      </c>
    </row>
    <row r="767" spans="1:2" x14ac:dyDescent="0.4">
      <c r="A767">
        <v>794</v>
      </c>
      <c r="B767" s="83" t="s">
        <v>2883</v>
      </c>
    </row>
    <row r="768" spans="1:2" x14ac:dyDescent="0.4">
      <c r="A768">
        <v>795</v>
      </c>
      <c r="B768" s="83"/>
    </row>
    <row r="769" spans="1:2" x14ac:dyDescent="0.4">
      <c r="A769">
        <v>796</v>
      </c>
      <c r="B769" s="83" t="s">
        <v>2884</v>
      </c>
    </row>
    <row r="770" spans="1:2" x14ac:dyDescent="0.4">
      <c r="A770">
        <v>797</v>
      </c>
      <c r="B770" t="s">
        <v>2569</v>
      </c>
    </row>
    <row r="771" spans="1:2" x14ac:dyDescent="0.4">
      <c r="A771">
        <v>798</v>
      </c>
      <c r="B771" t="s">
        <v>2570</v>
      </c>
    </row>
    <row r="772" spans="1:2" x14ac:dyDescent="0.4">
      <c r="A772">
        <v>799</v>
      </c>
      <c r="B772" s="83"/>
    </row>
    <row r="773" spans="1:2" x14ac:dyDescent="0.4">
      <c r="A773">
        <v>800</v>
      </c>
    </row>
    <row r="774" spans="1:2" x14ac:dyDescent="0.4">
      <c r="A774">
        <v>801</v>
      </c>
    </row>
    <row r="775" spans="1:2" x14ac:dyDescent="0.4">
      <c r="A775">
        <v>802</v>
      </c>
      <c r="B775" s="83"/>
    </row>
    <row r="776" spans="1:2" x14ac:dyDescent="0.4">
      <c r="A776">
        <v>803</v>
      </c>
      <c r="B776" t="s">
        <v>2885</v>
      </c>
    </row>
    <row r="777" spans="1:2" x14ac:dyDescent="0.4">
      <c r="A777">
        <v>804</v>
      </c>
      <c r="B777" s="83" t="s">
        <v>2571</v>
      </c>
    </row>
    <row r="778" spans="1:2" x14ac:dyDescent="0.4">
      <c r="A778">
        <v>805</v>
      </c>
    </row>
    <row r="779" spans="1:2" x14ac:dyDescent="0.4">
      <c r="A779">
        <v>806</v>
      </c>
      <c r="B779" t="s">
        <v>2886</v>
      </c>
    </row>
    <row r="780" spans="1:2" x14ac:dyDescent="0.4">
      <c r="A780">
        <v>807</v>
      </c>
      <c r="B780" t="s">
        <v>2572</v>
      </c>
    </row>
    <row r="781" spans="1:2" x14ac:dyDescent="0.4">
      <c r="A781">
        <v>808</v>
      </c>
    </row>
    <row r="782" spans="1:2" x14ac:dyDescent="0.4">
      <c r="A782">
        <v>809</v>
      </c>
      <c r="B782" t="s">
        <v>2573</v>
      </c>
    </row>
    <row r="783" spans="1:2" x14ac:dyDescent="0.4">
      <c r="A783">
        <v>810</v>
      </c>
    </row>
    <row r="784" spans="1:2" x14ac:dyDescent="0.4">
      <c r="A784">
        <v>811</v>
      </c>
      <c r="B784" t="s">
        <v>2574</v>
      </c>
    </row>
    <row r="785" spans="1:2" x14ac:dyDescent="0.4">
      <c r="A785">
        <v>812</v>
      </c>
      <c r="B785" t="s">
        <v>2575</v>
      </c>
    </row>
    <row r="786" spans="1:2" x14ac:dyDescent="0.4">
      <c r="A786">
        <v>813</v>
      </c>
      <c r="B786" t="s">
        <v>2576</v>
      </c>
    </row>
    <row r="787" spans="1:2" x14ac:dyDescent="0.4">
      <c r="A787">
        <v>814</v>
      </c>
      <c r="B787" t="s">
        <v>2577</v>
      </c>
    </row>
    <row r="788" spans="1:2" x14ac:dyDescent="0.4">
      <c r="A788">
        <v>815</v>
      </c>
      <c r="B788" s="83" t="s">
        <v>2578</v>
      </c>
    </row>
    <row r="789" spans="1:2" x14ac:dyDescent="0.4">
      <c r="A789">
        <v>816</v>
      </c>
      <c r="B789" s="83" t="s">
        <v>2579</v>
      </c>
    </row>
    <row r="790" spans="1:2" x14ac:dyDescent="0.4">
      <c r="A790">
        <v>817</v>
      </c>
      <c r="B790" t="s">
        <v>2580</v>
      </c>
    </row>
    <row r="791" spans="1:2" x14ac:dyDescent="0.4">
      <c r="A791">
        <v>818</v>
      </c>
      <c r="B791" t="s">
        <v>2887</v>
      </c>
    </row>
    <row r="792" spans="1:2" x14ac:dyDescent="0.4">
      <c r="A792">
        <v>819</v>
      </c>
      <c r="B792" s="83" t="s">
        <v>2581</v>
      </c>
    </row>
    <row r="793" spans="1:2" x14ac:dyDescent="0.4">
      <c r="A793">
        <v>820</v>
      </c>
      <c r="B793" s="83" t="s">
        <v>2582</v>
      </c>
    </row>
    <row r="794" spans="1:2" x14ac:dyDescent="0.4">
      <c r="A794">
        <v>821</v>
      </c>
    </row>
    <row r="795" spans="1:2" x14ac:dyDescent="0.4">
      <c r="A795">
        <v>822</v>
      </c>
    </row>
    <row r="796" spans="1:2" x14ac:dyDescent="0.4">
      <c r="A796">
        <v>823</v>
      </c>
      <c r="B796" t="s">
        <v>2583</v>
      </c>
    </row>
    <row r="797" spans="1:2" x14ac:dyDescent="0.4">
      <c r="A797">
        <v>824</v>
      </c>
      <c r="B797" t="s">
        <v>387</v>
      </c>
    </row>
    <row r="798" spans="1:2" x14ac:dyDescent="0.4">
      <c r="A798">
        <v>825</v>
      </c>
    </row>
    <row r="799" spans="1:2" x14ac:dyDescent="0.4">
      <c r="A799">
        <v>826</v>
      </c>
    </row>
    <row r="800" spans="1:2" x14ac:dyDescent="0.4">
      <c r="A800">
        <v>827</v>
      </c>
      <c r="B800" t="s">
        <v>2584</v>
      </c>
    </row>
    <row r="801" spans="1:2" x14ac:dyDescent="0.4">
      <c r="A801">
        <v>828</v>
      </c>
      <c r="B801" t="s">
        <v>2888</v>
      </c>
    </row>
    <row r="802" spans="1:2" x14ac:dyDescent="0.4">
      <c r="A802">
        <v>829</v>
      </c>
      <c r="B802" t="s">
        <v>2585</v>
      </c>
    </row>
    <row r="803" spans="1:2" x14ac:dyDescent="0.4">
      <c r="A803">
        <v>830</v>
      </c>
      <c r="B803" t="s">
        <v>2586</v>
      </c>
    </row>
    <row r="804" spans="1:2" x14ac:dyDescent="0.4">
      <c r="A804">
        <v>831</v>
      </c>
      <c r="B804" t="s">
        <v>2587</v>
      </c>
    </row>
    <row r="805" spans="1:2" x14ac:dyDescent="0.4">
      <c r="A805">
        <v>832</v>
      </c>
      <c r="B805" t="s">
        <v>2889</v>
      </c>
    </row>
    <row r="806" spans="1:2" x14ac:dyDescent="0.4">
      <c r="A806">
        <v>833</v>
      </c>
      <c r="B806" s="83" t="s">
        <v>2588</v>
      </c>
    </row>
    <row r="807" spans="1:2" x14ac:dyDescent="0.4">
      <c r="A807">
        <v>834</v>
      </c>
      <c r="B807" t="s">
        <v>2589</v>
      </c>
    </row>
    <row r="808" spans="1:2" x14ac:dyDescent="0.4">
      <c r="A808">
        <v>835</v>
      </c>
      <c r="B808" t="s">
        <v>2590</v>
      </c>
    </row>
    <row r="809" spans="1:2" x14ac:dyDescent="0.4">
      <c r="A809">
        <v>836</v>
      </c>
      <c r="B809" t="s">
        <v>2591</v>
      </c>
    </row>
    <row r="810" spans="1:2" x14ac:dyDescent="0.4">
      <c r="A810">
        <v>837</v>
      </c>
      <c r="B810" t="s">
        <v>2592</v>
      </c>
    </row>
    <row r="811" spans="1:2" x14ac:dyDescent="0.4">
      <c r="A811">
        <v>838</v>
      </c>
      <c r="B811" s="83" t="s">
        <v>2593</v>
      </c>
    </row>
    <row r="812" spans="1:2" x14ac:dyDescent="0.4">
      <c r="A812">
        <v>839</v>
      </c>
    </row>
    <row r="813" spans="1:2" x14ac:dyDescent="0.4">
      <c r="A813">
        <v>840</v>
      </c>
      <c r="B813" t="s">
        <v>2890</v>
      </c>
    </row>
    <row r="814" spans="1:2" x14ac:dyDescent="0.4">
      <c r="A814">
        <v>841</v>
      </c>
      <c r="B814" t="s">
        <v>2594</v>
      </c>
    </row>
    <row r="815" spans="1:2" x14ac:dyDescent="0.4">
      <c r="A815">
        <v>842</v>
      </c>
      <c r="B815" s="83" t="s">
        <v>2595</v>
      </c>
    </row>
    <row r="816" spans="1:2" x14ac:dyDescent="0.4">
      <c r="A816">
        <v>843</v>
      </c>
      <c r="B816" t="s">
        <v>736</v>
      </c>
    </row>
    <row r="817" spans="1:2" x14ac:dyDescent="0.4">
      <c r="A817">
        <v>844</v>
      </c>
      <c r="B817" s="83"/>
    </row>
    <row r="818" spans="1:2" x14ac:dyDescent="0.4">
      <c r="A818">
        <v>845</v>
      </c>
      <c r="B818" t="s">
        <v>2891</v>
      </c>
    </row>
    <row r="819" spans="1:2" x14ac:dyDescent="0.4">
      <c r="A819">
        <v>846</v>
      </c>
      <c r="B819" t="s">
        <v>2596</v>
      </c>
    </row>
    <row r="820" spans="1:2" x14ac:dyDescent="0.4">
      <c r="A820">
        <v>847</v>
      </c>
      <c r="B820" t="s">
        <v>2892</v>
      </c>
    </row>
    <row r="821" spans="1:2" x14ac:dyDescent="0.4">
      <c r="A821">
        <v>848</v>
      </c>
    </row>
    <row r="822" spans="1:2" x14ac:dyDescent="0.4">
      <c r="A822">
        <v>849</v>
      </c>
      <c r="B822" t="s">
        <v>2597</v>
      </c>
    </row>
    <row r="823" spans="1:2" x14ac:dyDescent="0.4">
      <c r="A823">
        <v>850</v>
      </c>
      <c r="B823" s="83"/>
    </row>
    <row r="824" spans="1:2" x14ac:dyDescent="0.4">
      <c r="A824">
        <v>851</v>
      </c>
      <c r="B824" t="s">
        <v>2893</v>
      </c>
    </row>
    <row r="825" spans="1:2" x14ac:dyDescent="0.4">
      <c r="A825">
        <v>852</v>
      </c>
      <c r="B825" t="s">
        <v>2598</v>
      </c>
    </row>
    <row r="826" spans="1:2" x14ac:dyDescent="0.4">
      <c r="A826">
        <v>853</v>
      </c>
      <c r="B826" s="83" t="s">
        <v>2599</v>
      </c>
    </row>
    <row r="827" spans="1:2" x14ac:dyDescent="0.4">
      <c r="A827">
        <v>854</v>
      </c>
      <c r="B827" t="s">
        <v>756</v>
      </c>
    </row>
    <row r="828" spans="1:2" x14ac:dyDescent="0.4">
      <c r="A828">
        <v>855</v>
      </c>
      <c r="B828" t="s">
        <v>816</v>
      </c>
    </row>
    <row r="829" spans="1:2" x14ac:dyDescent="0.4">
      <c r="A829">
        <v>856</v>
      </c>
    </row>
    <row r="830" spans="1:2" x14ac:dyDescent="0.4">
      <c r="A830">
        <v>857</v>
      </c>
      <c r="B830" t="s">
        <v>2894</v>
      </c>
    </row>
    <row r="831" spans="1:2" x14ac:dyDescent="0.4">
      <c r="A831">
        <v>858</v>
      </c>
      <c r="B831" t="s">
        <v>2600</v>
      </c>
    </row>
    <row r="832" spans="1:2" x14ac:dyDescent="0.4">
      <c r="A832">
        <v>859</v>
      </c>
    </row>
    <row r="833" spans="1:2" x14ac:dyDescent="0.4">
      <c r="A833">
        <v>860</v>
      </c>
      <c r="B833" t="s">
        <v>2601</v>
      </c>
    </row>
    <row r="834" spans="1:2" x14ac:dyDescent="0.4">
      <c r="A834">
        <v>861</v>
      </c>
      <c r="B834" t="s">
        <v>2602</v>
      </c>
    </row>
    <row r="835" spans="1:2" x14ac:dyDescent="0.4">
      <c r="A835">
        <v>862</v>
      </c>
      <c r="B835" t="s">
        <v>2603</v>
      </c>
    </row>
    <row r="836" spans="1:2" x14ac:dyDescent="0.4">
      <c r="A836">
        <v>863</v>
      </c>
      <c r="B836" t="s">
        <v>2604</v>
      </c>
    </row>
    <row r="837" spans="1:2" x14ac:dyDescent="0.4">
      <c r="A837">
        <v>864</v>
      </c>
      <c r="B837" t="s">
        <v>2418</v>
      </c>
    </row>
    <row r="838" spans="1:2" x14ac:dyDescent="0.4">
      <c r="A838">
        <v>865</v>
      </c>
      <c r="B838" t="s">
        <v>2605</v>
      </c>
    </row>
    <row r="839" spans="1:2" x14ac:dyDescent="0.4">
      <c r="A839">
        <v>866</v>
      </c>
      <c r="B839" t="s">
        <v>2885</v>
      </c>
    </row>
    <row r="840" spans="1:2" x14ac:dyDescent="0.4">
      <c r="A840">
        <v>867</v>
      </c>
      <c r="B840" s="83" t="s">
        <v>2895</v>
      </c>
    </row>
    <row r="841" spans="1:2" x14ac:dyDescent="0.4">
      <c r="A841">
        <v>868</v>
      </c>
      <c r="B841" t="s">
        <v>2606</v>
      </c>
    </row>
    <row r="842" spans="1:2" x14ac:dyDescent="0.4">
      <c r="A842">
        <v>869</v>
      </c>
      <c r="B842" t="s">
        <v>2607</v>
      </c>
    </row>
    <row r="843" spans="1:2" x14ac:dyDescent="0.4">
      <c r="A843">
        <v>870</v>
      </c>
      <c r="B843" s="83" t="s">
        <v>2608</v>
      </c>
    </row>
    <row r="844" spans="1:2" x14ac:dyDescent="0.4">
      <c r="A844">
        <v>871</v>
      </c>
      <c r="B844" t="s">
        <v>2609</v>
      </c>
    </row>
    <row r="845" spans="1:2" x14ac:dyDescent="0.4">
      <c r="A845">
        <v>872</v>
      </c>
      <c r="B845" s="83" t="s">
        <v>2896</v>
      </c>
    </row>
    <row r="846" spans="1:2" x14ac:dyDescent="0.4">
      <c r="A846">
        <v>873</v>
      </c>
    </row>
    <row r="847" spans="1:2" x14ac:dyDescent="0.4">
      <c r="A847">
        <v>874</v>
      </c>
      <c r="B847" t="s">
        <v>2610</v>
      </c>
    </row>
    <row r="848" spans="1:2" x14ac:dyDescent="0.4">
      <c r="A848">
        <v>875</v>
      </c>
      <c r="B848" s="83" t="s">
        <v>2849</v>
      </c>
    </row>
    <row r="849" spans="1:2" x14ac:dyDescent="0.4">
      <c r="A849">
        <v>876</v>
      </c>
    </row>
    <row r="850" spans="1:2" x14ac:dyDescent="0.4">
      <c r="A850">
        <v>877</v>
      </c>
      <c r="B850" t="s">
        <v>2897</v>
      </c>
    </row>
    <row r="851" spans="1:2" x14ac:dyDescent="0.4">
      <c r="A851">
        <v>878</v>
      </c>
    </row>
    <row r="852" spans="1:2" x14ac:dyDescent="0.4">
      <c r="A852">
        <v>879</v>
      </c>
      <c r="B852" t="s">
        <v>2898</v>
      </c>
    </row>
    <row r="853" spans="1:2" x14ac:dyDescent="0.4">
      <c r="A853">
        <v>880</v>
      </c>
      <c r="B853" t="s">
        <v>2611</v>
      </c>
    </row>
    <row r="854" spans="1:2" x14ac:dyDescent="0.4">
      <c r="A854">
        <v>881</v>
      </c>
    </row>
    <row r="855" spans="1:2" x14ac:dyDescent="0.4">
      <c r="A855">
        <v>882</v>
      </c>
      <c r="B855" t="s">
        <v>2612</v>
      </c>
    </row>
    <row r="856" spans="1:2" x14ac:dyDescent="0.4">
      <c r="A856">
        <v>883</v>
      </c>
      <c r="B856" t="s">
        <v>2899</v>
      </c>
    </row>
    <row r="857" spans="1:2" x14ac:dyDescent="0.4">
      <c r="A857">
        <v>884</v>
      </c>
      <c r="B857" t="s">
        <v>2613</v>
      </c>
    </row>
    <row r="858" spans="1:2" x14ac:dyDescent="0.4">
      <c r="A858">
        <v>885</v>
      </c>
      <c r="B858" t="s">
        <v>2614</v>
      </c>
    </row>
    <row r="859" spans="1:2" x14ac:dyDescent="0.4">
      <c r="A859">
        <v>886</v>
      </c>
      <c r="B859" t="s">
        <v>1143</v>
      </c>
    </row>
    <row r="860" spans="1:2" x14ac:dyDescent="0.4">
      <c r="A860">
        <v>887</v>
      </c>
      <c r="B860" t="s">
        <v>2615</v>
      </c>
    </row>
    <row r="861" spans="1:2" x14ac:dyDescent="0.4">
      <c r="A861">
        <v>888</v>
      </c>
      <c r="B861" t="s">
        <v>2616</v>
      </c>
    </row>
    <row r="862" spans="1:2" x14ac:dyDescent="0.4">
      <c r="A862">
        <v>889</v>
      </c>
      <c r="B862" t="s">
        <v>2617</v>
      </c>
    </row>
    <row r="863" spans="1:2" x14ac:dyDescent="0.4">
      <c r="A863">
        <v>890</v>
      </c>
      <c r="B863" t="s">
        <v>2900</v>
      </c>
    </row>
    <row r="864" spans="1:2" x14ac:dyDescent="0.4">
      <c r="A864">
        <v>891</v>
      </c>
      <c r="B864" t="s">
        <v>2618</v>
      </c>
    </row>
    <row r="865" spans="1:2" x14ac:dyDescent="0.4">
      <c r="A865">
        <v>892</v>
      </c>
      <c r="B865" t="s">
        <v>2619</v>
      </c>
    </row>
    <row r="866" spans="1:2" x14ac:dyDescent="0.4">
      <c r="A866">
        <v>893</v>
      </c>
      <c r="B866" t="s">
        <v>2620</v>
      </c>
    </row>
    <row r="867" spans="1:2" x14ac:dyDescent="0.4">
      <c r="A867">
        <v>894</v>
      </c>
      <c r="B867" t="s">
        <v>2621</v>
      </c>
    </row>
    <row r="868" spans="1:2" x14ac:dyDescent="0.4">
      <c r="A868">
        <v>895</v>
      </c>
      <c r="B868" t="s">
        <v>2622</v>
      </c>
    </row>
    <row r="869" spans="1:2" x14ac:dyDescent="0.4">
      <c r="A869">
        <v>896</v>
      </c>
      <c r="B869" t="s">
        <v>2623</v>
      </c>
    </row>
    <row r="870" spans="1:2" x14ac:dyDescent="0.4">
      <c r="A870">
        <v>897</v>
      </c>
      <c r="B870" t="s">
        <v>2624</v>
      </c>
    </row>
    <row r="871" spans="1:2" x14ac:dyDescent="0.4">
      <c r="A871">
        <v>898</v>
      </c>
      <c r="B871" t="s">
        <v>2625</v>
      </c>
    </row>
    <row r="872" spans="1:2" x14ac:dyDescent="0.4">
      <c r="A872">
        <v>899</v>
      </c>
      <c r="B872" t="s">
        <v>2626</v>
      </c>
    </row>
    <row r="873" spans="1:2" x14ac:dyDescent="0.4">
      <c r="A873">
        <v>900</v>
      </c>
      <c r="B873" t="s">
        <v>2901</v>
      </c>
    </row>
    <row r="874" spans="1:2" x14ac:dyDescent="0.4">
      <c r="A874">
        <v>901</v>
      </c>
      <c r="B874" s="83" t="s">
        <v>2902</v>
      </c>
    </row>
    <row r="875" spans="1:2" x14ac:dyDescent="0.4">
      <c r="A875">
        <v>902</v>
      </c>
      <c r="B875" s="83" t="s">
        <v>2627</v>
      </c>
    </row>
    <row r="876" spans="1:2" x14ac:dyDescent="0.4">
      <c r="A876">
        <v>903</v>
      </c>
      <c r="B876" s="83" t="s">
        <v>2628</v>
      </c>
    </row>
    <row r="877" spans="1:2" x14ac:dyDescent="0.4">
      <c r="A877">
        <v>904</v>
      </c>
      <c r="B877" t="s">
        <v>2629</v>
      </c>
    </row>
    <row r="878" spans="1:2" x14ac:dyDescent="0.4">
      <c r="A878">
        <v>905</v>
      </c>
      <c r="B878" t="s">
        <v>2630</v>
      </c>
    </row>
    <row r="879" spans="1:2" x14ac:dyDescent="0.4">
      <c r="A879">
        <v>906</v>
      </c>
      <c r="B879" s="83" t="s">
        <v>2903</v>
      </c>
    </row>
    <row r="880" spans="1:2" x14ac:dyDescent="0.4">
      <c r="A880">
        <v>907</v>
      </c>
    </row>
    <row r="881" spans="1:2" x14ac:dyDescent="0.4">
      <c r="A881">
        <v>908</v>
      </c>
    </row>
    <row r="882" spans="1:2" x14ac:dyDescent="0.4">
      <c r="A882">
        <v>909</v>
      </c>
    </row>
    <row r="883" spans="1:2" x14ac:dyDescent="0.4">
      <c r="A883">
        <v>910</v>
      </c>
      <c r="B883" t="s">
        <v>2631</v>
      </c>
    </row>
    <row r="884" spans="1:2" x14ac:dyDescent="0.4">
      <c r="A884">
        <v>911</v>
      </c>
      <c r="B884" s="83" t="s">
        <v>2904</v>
      </c>
    </row>
    <row r="885" spans="1:2" x14ac:dyDescent="0.4">
      <c r="A885">
        <v>912</v>
      </c>
    </row>
    <row r="886" spans="1:2" x14ac:dyDescent="0.4">
      <c r="A886">
        <v>913</v>
      </c>
      <c r="B886" t="s">
        <v>2632</v>
      </c>
    </row>
    <row r="887" spans="1:2" x14ac:dyDescent="0.4">
      <c r="A887">
        <v>914</v>
      </c>
      <c r="B887" t="s">
        <v>2633</v>
      </c>
    </row>
    <row r="888" spans="1:2" x14ac:dyDescent="0.4">
      <c r="A888">
        <v>915</v>
      </c>
      <c r="B888" t="s">
        <v>730</v>
      </c>
    </row>
    <row r="889" spans="1:2" x14ac:dyDescent="0.4">
      <c r="A889">
        <v>916</v>
      </c>
      <c r="B889" t="s">
        <v>2634</v>
      </c>
    </row>
    <row r="890" spans="1:2" x14ac:dyDescent="0.4">
      <c r="A890">
        <v>917</v>
      </c>
    </row>
    <row r="891" spans="1:2" x14ac:dyDescent="0.4">
      <c r="A891">
        <v>918</v>
      </c>
      <c r="B891" s="83" t="s">
        <v>2635</v>
      </c>
    </row>
    <row r="892" spans="1:2" x14ac:dyDescent="0.4">
      <c r="A892">
        <v>919</v>
      </c>
      <c r="B892" t="s">
        <v>2636</v>
      </c>
    </row>
    <row r="893" spans="1:2" x14ac:dyDescent="0.4">
      <c r="A893">
        <v>920</v>
      </c>
      <c r="B893" s="83" t="s">
        <v>2637</v>
      </c>
    </row>
    <row r="894" spans="1:2" x14ac:dyDescent="0.4">
      <c r="A894">
        <v>921</v>
      </c>
      <c r="B894" t="s">
        <v>2638</v>
      </c>
    </row>
    <row r="895" spans="1:2" x14ac:dyDescent="0.4">
      <c r="A895">
        <v>922</v>
      </c>
      <c r="B895" t="s">
        <v>2639</v>
      </c>
    </row>
    <row r="896" spans="1:2" x14ac:dyDescent="0.4">
      <c r="A896">
        <v>923</v>
      </c>
      <c r="B896" s="83" t="s">
        <v>2640</v>
      </c>
    </row>
    <row r="897" spans="1:2" x14ac:dyDescent="0.4">
      <c r="A897">
        <v>924</v>
      </c>
    </row>
    <row r="898" spans="1:2" x14ac:dyDescent="0.4">
      <c r="A898">
        <v>925</v>
      </c>
      <c r="B898" t="s">
        <v>2641</v>
      </c>
    </row>
    <row r="899" spans="1:2" x14ac:dyDescent="0.4">
      <c r="A899">
        <v>926</v>
      </c>
    </row>
    <row r="900" spans="1:2" x14ac:dyDescent="0.4">
      <c r="A900">
        <v>927</v>
      </c>
      <c r="B900" t="s">
        <v>2642</v>
      </c>
    </row>
    <row r="901" spans="1:2" x14ac:dyDescent="0.4">
      <c r="A901">
        <v>928</v>
      </c>
      <c r="B901" t="s">
        <v>2905</v>
      </c>
    </row>
    <row r="902" spans="1:2" x14ac:dyDescent="0.4">
      <c r="A902">
        <v>929</v>
      </c>
    </row>
    <row r="903" spans="1:2" x14ac:dyDescent="0.4">
      <c r="A903">
        <v>930</v>
      </c>
      <c r="B903" s="83" t="s">
        <v>2643</v>
      </c>
    </row>
    <row r="904" spans="1:2" x14ac:dyDescent="0.4">
      <c r="A904">
        <v>931</v>
      </c>
      <c r="B904" s="83" t="s">
        <v>2644</v>
      </c>
    </row>
    <row r="905" spans="1:2" x14ac:dyDescent="0.4">
      <c r="A905">
        <v>932</v>
      </c>
      <c r="B905" s="83" t="s">
        <v>2906</v>
      </c>
    </row>
    <row r="906" spans="1:2" x14ac:dyDescent="0.4">
      <c r="A906">
        <v>933</v>
      </c>
      <c r="B906" t="s">
        <v>2645</v>
      </c>
    </row>
    <row r="907" spans="1:2" x14ac:dyDescent="0.4">
      <c r="A907">
        <v>934</v>
      </c>
      <c r="B907" t="s">
        <v>2907</v>
      </c>
    </row>
    <row r="908" spans="1:2" x14ac:dyDescent="0.4">
      <c r="A908">
        <v>935</v>
      </c>
      <c r="B908" t="s">
        <v>2646</v>
      </c>
    </row>
    <row r="909" spans="1:2" x14ac:dyDescent="0.4">
      <c r="A909">
        <v>936</v>
      </c>
    </row>
    <row r="910" spans="1:2" x14ac:dyDescent="0.4">
      <c r="A910">
        <v>937</v>
      </c>
    </row>
    <row r="911" spans="1:2" x14ac:dyDescent="0.4">
      <c r="A911">
        <v>938</v>
      </c>
      <c r="B911" s="83"/>
    </row>
    <row r="912" spans="1:2" x14ac:dyDescent="0.4">
      <c r="A912">
        <v>939</v>
      </c>
      <c r="B912" s="83" t="s">
        <v>2647</v>
      </c>
    </row>
    <row r="913" spans="1:2" x14ac:dyDescent="0.4">
      <c r="A913">
        <v>940</v>
      </c>
      <c r="B913" t="s">
        <v>2648</v>
      </c>
    </row>
    <row r="914" spans="1:2" x14ac:dyDescent="0.4">
      <c r="A914">
        <v>941</v>
      </c>
      <c r="B914" t="s">
        <v>2908</v>
      </c>
    </row>
    <row r="915" spans="1:2" x14ac:dyDescent="0.4">
      <c r="A915">
        <v>942</v>
      </c>
      <c r="B915" t="s">
        <v>2649</v>
      </c>
    </row>
    <row r="916" spans="1:2" x14ac:dyDescent="0.4">
      <c r="A916">
        <v>943</v>
      </c>
      <c r="B916" t="s">
        <v>2909</v>
      </c>
    </row>
    <row r="917" spans="1:2" x14ac:dyDescent="0.4">
      <c r="A917">
        <v>944</v>
      </c>
    </row>
    <row r="918" spans="1:2" x14ac:dyDescent="0.4">
      <c r="A918">
        <v>945</v>
      </c>
    </row>
    <row r="919" spans="1:2" x14ac:dyDescent="0.4">
      <c r="A919">
        <v>946</v>
      </c>
      <c r="B919" t="s">
        <v>2650</v>
      </c>
    </row>
    <row r="920" spans="1:2" x14ac:dyDescent="0.4">
      <c r="A920">
        <v>947</v>
      </c>
      <c r="B920" t="s">
        <v>2651</v>
      </c>
    </row>
    <row r="921" spans="1:2" x14ac:dyDescent="0.4">
      <c r="A921">
        <v>948</v>
      </c>
      <c r="B921" t="s">
        <v>869</v>
      </c>
    </row>
    <row r="922" spans="1:2" x14ac:dyDescent="0.4">
      <c r="A922">
        <v>949</v>
      </c>
      <c r="B922" s="83" t="s">
        <v>2652</v>
      </c>
    </row>
    <row r="923" spans="1:2" x14ac:dyDescent="0.4">
      <c r="A923">
        <v>950</v>
      </c>
      <c r="B923" s="83" t="s">
        <v>2653</v>
      </c>
    </row>
    <row r="924" spans="1:2" x14ac:dyDescent="0.4">
      <c r="A924">
        <v>951</v>
      </c>
      <c r="B924" t="s">
        <v>2654</v>
      </c>
    </row>
    <row r="925" spans="1:2" x14ac:dyDescent="0.4">
      <c r="A925">
        <v>952</v>
      </c>
      <c r="B925" t="s">
        <v>2655</v>
      </c>
    </row>
    <row r="926" spans="1:2" x14ac:dyDescent="0.4">
      <c r="A926">
        <v>953</v>
      </c>
      <c r="B926" t="s">
        <v>498</v>
      </c>
    </row>
    <row r="927" spans="1:2" x14ac:dyDescent="0.4">
      <c r="A927">
        <v>954</v>
      </c>
      <c r="B927" t="s">
        <v>2656</v>
      </c>
    </row>
    <row r="928" spans="1:2" x14ac:dyDescent="0.4">
      <c r="A928">
        <v>955</v>
      </c>
    </row>
    <row r="929" spans="1:2" x14ac:dyDescent="0.4">
      <c r="A929">
        <v>956</v>
      </c>
    </row>
    <row r="930" spans="1:2" x14ac:dyDescent="0.4">
      <c r="A930">
        <v>957</v>
      </c>
      <c r="B930" s="83" t="s">
        <v>2910</v>
      </c>
    </row>
    <row r="931" spans="1:2" x14ac:dyDescent="0.4">
      <c r="A931">
        <v>958</v>
      </c>
      <c r="B931" t="s">
        <v>2657</v>
      </c>
    </row>
    <row r="932" spans="1:2" x14ac:dyDescent="0.4">
      <c r="A932">
        <v>959</v>
      </c>
      <c r="B932" t="s">
        <v>2658</v>
      </c>
    </row>
    <row r="933" spans="1:2" x14ac:dyDescent="0.4">
      <c r="A933">
        <v>960</v>
      </c>
      <c r="B933" t="s">
        <v>2659</v>
      </c>
    </row>
    <row r="934" spans="1:2" x14ac:dyDescent="0.4">
      <c r="A934">
        <v>961</v>
      </c>
      <c r="B934" t="s">
        <v>2743</v>
      </c>
    </row>
    <row r="935" spans="1:2" x14ac:dyDescent="0.4">
      <c r="A935">
        <v>962</v>
      </c>
      <c r="B935" t="s">
        <v>2660</v>
      </c>
    </row>
    <row r="936" spans="1:2" x14ac:dyDescent="0.4">
      <c r="A936">
        <v>963</v>
      </c>
    </row>
    <row r="937" spans="1:2" x14ac:dyDescent="0.4">
      <c r="A937">
        <v>964</v>
      </c>
      <c r="B937" t="s">
        <v>2661</v>
      </c>
    </row>
    <row r="938" spans="1:2" x14ac:dyDescent="0.4">
      <c r="A938">
        <v>965</v>
      </c>
      <c r="B938" t="s">
        <v>2911</v>
      </c>
    </row>
    <row r="939" spans="1:2" x14ac:dyDescent="0.4">
      <c r="A939">
        <v>966</v>
      </c>
      <c r="B939" t="s">
        <v>663</v>
      </c>
    </row>
    <row r="940" spans="1:2" x14ac:dyDescent="0.4">
      <c r="A940">
        <v>967</v>
      </c>
      <c r="B940" t="s">
        <v>2912</v>
      </c>
    </row>
    <row r="941" spans="1:2" x14ac:dyDescent="0.4">
      <c r="A941">
        <v>968</v>
      </c>
      <c r="B941" t="s">
        <v>2913</v>
      </c>
    </row>
    <row r="942" spans="1:2" x14ac:dyDescent="0.4">
      <c r="A942">
        <v>969</v>
      </c>
      <c r="B942" t="s">
        <v>2662</v>
      </c>
    </row>
    <row r="943" spans="1:2" x14ac:dyDescent="0.4">
      <c r="A943">
        <v>970</v>
      </c>
      <c r="B943" t="s">
        <v>2663</v>
      </c>
    </row>
    <row r="944" spans="1:2" x14ac:dyDescent="0.4">
      <c r="A944">
        <v>971</v>
      </c>
      <c r="B944" s="83" t="s">
        <v>2664</v>
      </c>
    </row>
    <row r="945" spans="1:2" x14ac:dyDescent="0.4">
      <c r="A945">
        <v>972</v>
      </c>
      <c r="B945" s="83" t="s">
        <v>2914</v>
      </c>
    </row>
    <row r="946" spans="1:2" x14ac:dyDescent="0.4">
      <c r="A946">
        <v>973</v>
      </c>
      <c r="B946" s="83" t="s">
        <v>2665</v>
      </c>
    </row>
    <row r="947" spans="1:2" x14ac:dyDescent="0.4">
      <c r="A947">
        <v>974</v>
      </c>
      <c r="B947" t="s">
        <v>2666</v>
      </c>
    </row>
    <row r="948" spans="1:2" x14ac:dyDescent="0.4">
      <c r="A948">
        <v>975</v>
      </c>
      <c r="B948" t="s">
        <v>539</v>
      </c>
    </row>
    <row r="949" spans="1:2" x14ac:dyDescent="0.4">
      <c r="A949">
        <v>976</v>
      </c>
      <c r="B949" t="s">
        <v>2915</v>
      </c>
    </row>
    <row r="950" spans="1:2" x14ac:dyDescent="0.4">
      <c r="A950">
        <v>977</v>
      </c>
      <c r="B950" s="83"/>
    </row>
    <row r="951" spans="1:2" x14ac:dyDescent="0.4">
      <c r="A951">
        <v>978</v>
      </c>
    </row>
    <row r="952" spans="1:2" x14ac:dyDescent="0.4">
      <c r="A952">
        <v>979</v>
      </c>
    </row>
    <row r="953" spans="1:2" x14ac:dyDescent="0.4">
      <c r="A953">
        <v>980</v>
      </c>
      <c r="B953" t="s">
        <v>2667</v>
      </c>
    </row>
    <row r="954" spans="1:2" x14ac:dyDescent="0.4">
      <c r="A954">
        <v>981</v>
      </c>
      <c r="B954" t="s">
        <v>2668</v>
      </c>
    </row>
    <row r="955" spans="1:2" x14ac:dyDescent="0.4">
      <c r="A955">
        <v>982</v>
      </c>
      <c r="B955" t="s">
        <v>2669</v>
      </c>
    </row>
    <row r="956" spans="1:2" x14ac:dyDescent="0.4">
      <c r="A956">
        <v>983</v>
      </c>
    </row>
    <row r="957" spans="1:2" x14ac:dyDescent="0.4">
      <c r="A957">
        <v>984</v>
      </c>
      <c r="B957" t="s">
        <v>2670</v>
      </c>
    </row>
    <row r="958" spans="1:2" x14ac:dyDescent="0.4">
      <c r="A958">
        <v>985</v>
      </c>
      <c r="B958" t="s">
        <v>2916</v>
      </c>
    </row>
    <row r="959" spans="1:2" x14ac:dyDescent="0.4">
      <c r="A959">
        <v>986</v>
      </c>
      <c r="B959" t="s">
        <v>2671</v>
      </c>
    </row>
    <row r="960" spans="1:2" x14ac:dyDescent="0.4">
      <c r="A960">
        <v>987</v>
      </c>
      <c r="B960" t="s">
        <v>617</v>
      </c>
    </row>
    <row r="961" spans="1:2" x14ac:dyDescent="0.4">
      <c r="A961">
        <v>988</v>
      </c>
      <c r="B961" t="s">
        <v>2672</v>
      </c>
    </row>
    <row r="962" spans="1:2" x14ac:dyDescent="0.4">
      <c r="A962">
        <v>989</v>
      </c>
      <c r="B962" t="s">
        <v>747</v>
      </c>
    </row>
    <row r="963" spans="1:2" x14ac:dyDescent="0.4">
      <c r="A963">
        <v>990</v>
      </c>
      <c r="B963" t="s">
        <v>2673</v>
      </c>
    </row>
    <row r="964" spans="1:2" x14ac:dyDescent="0.4">
      <c r="A964">
        <v>991</v>
      </c>
      <c r="B964" t="s">
        <v>2674</v>
      </c>
    </row>
    <row r="965" spans="1:2" x14ac:dyDescent="0.4">
      <c r="A965">
        <v>992</v>
      </c>
      <c r="B965" t="s">
        <v>2675</v>
      </c>
    </row>
    <row r="966" spans="1:2" x14ac:dyDescent="0.4">
      <c r="A966">
        <v>993</v>
      </c>
      <c r="B966" t="s">
        <v>2676</v>
      </c>
    </row>
    <row r="967" spans="1:2" x14ac:dyDescent="0.4">
      <c r="A967">
        <v>994</v>
      </c>
      <c r="B967" t="s">
        <v>2677</v>
      </c>
    </row>
    <row r="968" spans="1:2" x14ac:dyDescent="0.4">
      <c r="A968">
        <v>995</v>
      </c>
      <c r="B968" t="s">
        <v>2678</v>
      </c>
    </row>
    <row r="969" spans="1:2" x14ac:dyDescent="0.4">
      <c r="A969">
        <v>996</v>
      </c>
      <c r="B969" t="s">
        <v>2679</v>
      </c>
    </row>
    <row r="970" spans="1:2" x14ac:dyDescent="0.4">
      <c r="A970">
        <v>997</v>
      </c>
      <c r="B970" t="s">
        <v>2680</v>
      </c>
    </row>
    <row r="971" spans="1:2" x14ac:dyDescent="0.4">
      <c r="A971">
        <v>998</v>
      </c>
      <c r="B971" t="s">
        <v>2681</v>
      </c>
    </row>
    <row r="972" spans="1:2" x14ac:dyDescent="0.4">
      <c r="A972">
        <v>999</v>
      </c>
      <c r="B972" t="s">
        <v>2682</v>
      </c>
    </row>
    <row r="973" spans="1:2" x14ac:dyDescent="0.4">
      <c r="A973">
        <v>1000</v>
      </c>
      <c r="B973" t="s">
        <v>2917</v>
      </c>
    </row>
    <row r="974" spans="1:2" x14ac:dyDescent="0.4">
      <c r="A974">
        <v>1001</v>
      </c>
      <c r="B974" t="s">
        <v>2917</v>
      </c>
    </row>
    <row r="975" spans="1:2" x14ac:dyDescent="0.4">
      <c r="A975">
        <v>1002</v>
      </c>
      <c r="B975" t="s">
        <v>2917</v>
      </c>
    </row>
    <row r="976" spans="1:2" x14ac:dyDescent="0.4">
      <c r="A976">
        <v>1003</v>
      </c>
      <c r="B976" t="s">
        <v>2683</v>
      </c>
    </row>
    <row r="977" spans="1:2" x14ac:dyDescent="0.4">
      <c r="A977">
        <v>1004</v>
      </c>
      <c r="B977" t="s">
        <v>2918</v>
      </c>
    </row>
    <row r="978" spans="1:2" x14ac:dyDescent="0.4">
      <c r="A978">
        <v>1005</v>
      </c>
      <c r="B978" t="s">
        <v>2684</v>
      </c>
    </row>
    <row r="979" spans="1:2" x14ac:dyDescent="0.4">
      <c r="A979">
        <v>1006</v>
      </c>
      <c r="B979" t="s">
        <v>2919</v>
      </c>
    </row>
    <row r="980" spans="1:2" x14ac:dyDescent="0.4">
      <c r="A980">
        <v>1007</v>
      </c>
      <c r="B980" t="s">
        <v>2303</v>
      </c>
    </row>
    <row r="981" spans="1:2" x14ac:dyDescent="0.4">
      <c r="A981">
        <v>1008</v>
      </c>
      <c r="B981" t="s">
        <v>2685</v>
      </c>
    </row>
    <row r="982" spans="1:2" x14ac:dyDescent="0.4">
      <c r="A982">
        <v>1009</v>
      </c>
      <c r="B982" t="s">
        <v>2686</v>
      </c>
    </row>
    <row r="983" spans="1:2" x14ac:dyDescent="0.4">
      <c r="A983">
        <v>1010</v>
      </c>
      <c r="B983" t="s">
        <v>2920</v>
      </c>
    </row>
    <row r="984" spans="1:2" x14ac:dyDescent="0.4">
      <c r="A984">
        <v>1011</v>
      </c>
      <c r="B984" t="s">
        <v>2687</v>
      </c>
    </row>
    <row r="985" spans="1:2" x14ac:dyDescent="0.4">
      <c r="A985">
        <v>1012</v>
      </c>
      <c r="B985" t="s">
        <v>2688</v>
      </c>
    </row>
    <row r="986" spans="1:2" x14ac:dyDescent="0.4">
      <c r="A986">
        <v>1013</v>
      </c>
      <c r="B986" t="s">
        <v>2689</v>
      </c>
    </row>
    <row r="987" spans="1:2" x14ac:dyDescent="0.4">
      <c r="A987">
        <v>1014</v>
      </c>
      <c r="B987" t="s">
        <v>2690</v>
      </c>
    </row>
    <row r="988" spans="1:2" x14ac:dyDescent="0.4">
      <c r="A988">
        <v>1015</v>
      </c>
      <c r="B988" t="s">
        <v>2921</v>
      </c>
    </row>
    <row r="989" spans="1:2" x14ac:dyDescent="0.4">
      <c r="A989">
        <v>1016</v>
      </c>
      <c r="B989" t="s">
        <v>2691</v>
      </c>
    </row>
    <row r="990" spans="1:2" x14ac:dyDescent="0.4">
      <c r="A990">
        <v>1017</v>
      </c>
      <c r="B990" t="s">
        <v>2692</v>
      </c>
    </row>
    <row r="991" spans="1:2" x14ac:dyDescent="0.4">
      <c r="A991">
        <v>1018</v>
      </c>
      <c r="B991" t="s">
        <v>2922</v>
      </c>
    </row>
    <row r="992" spans="1:2" x14ac:dyDescent="0.4">
      <c r="A992">
        <v>1019</v>
      </c>
      <c r="B992" t="s">
        <v>2923</v>
      </c>
    </row>
    <row r="993" spans="1:2" x14ac:dyDescent="0.4">
      <c r="A993">
        <v>1020</v>
      </c>
      <c r="B993" t="s">
        <v>2924</v>
      </c>
    </row>
    <row r="994" spans="1:2" x14ac:dyDescent="0.4">
      <c r="A994">
        <v>1021</v>
      </c>
      <c r="B994" t="s">
        <v>2693</v>
      </c>
    </row>
    <row r="995" spans="1:2" x14ac:dyDescent="0.4">
      <c r="A995">
        <v>1022</v>
      </c>
      <c r="B995" t="s">
        <v>2694</v>
      </c>
    </row>
    <row r="996" spans="1:2" x14ac:dyDescent="0.4">
      <c r="A996">
        <v>1023</v>
      </c>
      <c r="B996" t="s">
        <v>2695</v>
      </c>
    </row>
    <row r="997" spans="1:2" x14ac:dyDescent="0.4">
      <c r="A997">
        <v>1024</v>
      </c>
      <c r="B997" t="s">
        <v>2925</v>
      </c>
    </row>
    <row r="998" spans="1:2" x14ac:dyDescent="0.4">
      <c r="A998">
        <v>1025</v>
      </c>
      <c r="B998" t="s">
        <v>2696</v>
      </c>
    </row>
    <row r="999" spans="1:2" x14ac:dyDescent="0.4">
      <c r="A999">
        <v>1026</v>
      </c>
      <c r="B999" t="s">
        <v>2697</v>
      </c>
    </row>
    <row r="1000" spans="1:2" x14ac:dyDescent="0.4">
      <c r="A1000">
        <v>1027</v>
      </c>
      <c r="B1000" t="s">
        <v>2698</v>
      </c>
    </row>
    <row r="1001" spans="1:2" x14ac:dyDescent="0.4">
      <c r="A1001">
        <v>1028</v>
      </c>
      <c r="B1001" t="s">
        <v>2699</v>
      </c>
    </row>
    <row r="1002" spans="1:2" x14ac:dyDescent="0.4">
      <c r="A1002">
        <v>1029</v>
      </c>
      <c r="B1002" t="s">
        <v>2700</v>
      </c>
    </row>
    <row r="1003" spans="1:2" x14ac:dyDescent="0.4">
      <c r="A1003">
        <v>1030</v>
      </c>
      <c r="B1003" t="s">
        <v>2926</v>
      </c>
    </row>
    <row r="1004" spans="1:2" x14ac:dyDescent="0.4">
      <c r="A1004">
        <v>1031</v>
      </c>
      <c r="B1004" t="s">
        <v>2701</v>
      </c>
    </row>
    <row r="1005" spans="1:2" x14ac:dyDescent="0.4">
      <c r="A1005">
        <v>1032</v>
      </c>
      <c r="B1005" s="83" t="s">
        <v>661</v>
      </c>
    </row>
    <row r="1006" spans="1:2" x14ac:dyDescent="0.4">
      <c r="A1006">
        <v>1033</v>
      </c>
      <c r="B1006" s="83" t="s">
        <v>2702</v>
      </c>
    </row>
    <row r="1007" spans="1:2" x14ac:dyDescent="0.4">
      <c r="A1007">
        <v>1034</v>
      </c>
      <c r="B1007" t="s">
        <v>2703</v>
      </c>
    </row>
    <row r="1008" spans="1:2" x14ac:dyDescent="0.4">
      <c r="A1008">
        <v>1035</v>
      </c>
      <c r="B1008" s="83" t="s">
        <v>2704</v>
      </c>
    </row>
    <row r="1009" spans="1:2" x14ac:dyDescent="0.4">
      <c r="A1009">
        <v>1036</v>
      </c>
      <c r="B1009" s="83" t="s">
        <v>2705</v>
      </c>
    </row>
    <row r="1010" spans="1:2" x14ac:dyDescent="0.4">
      <c r="A1010">
        <v>1037</v>
      </c>
      <c r="B1010" s="83" t="s">
        <v>2927</v>
      </c>
    </row>
    <row r="1011" spans="1:2" x14ac:dyDescent="0.4">
      <c r="A1011">
        <v>1038</v>
      </c>
      <c r="B1011" s="83"/>
    </row>
    <row r="1012" spans="1:2" x14ac:dyDescent="0.4">
      <c r="A1012">
        <v>1039</v>
      </c>
      <c r="B1012" s="83"/>
    </row>
    <row r="1013" spans="1:2" x14ac:dyDescent="0.4">
      <c r="A1013">
        <v>1040</v>
      </c>
      <c r="B1013" s="83" t="s">
        <v>2706</v>
      </c>
    </row>
    <row r="1014" spans="1:2" x14ac:dyDescent="0.4">
      <c r="A1014">
        <v>1041</v>
      </c>
      <c r="B1014" s="83"/>
    </row>
    <row r="1015" spans="1:2" x14ac:dyDescent="0.4">
      <c r="A1015">
        <v>1042</v>
      </c>
    </row>
    <row r="1016" spans="1:2" x14ac:dyDescent="0.4">
      <c r="A1016">
        <v>1043</v>
      </c>
    </row>
    <row r="1017" spans="1:2" x14ac:dyDescent="0.4">
      <c r="A1017">
        <v>1044</v>
      </c>
    </row>
    <row r="1018" spans="1:2" x14ac:dyDescent="0.4">
      <c r="A1018">
        <v>1045</v>
      </c>
    </row>
    <row r="1019" spans="1:2" x14ac:dyDescent="0.4">
      <c r="A1019">
        <v>1046</v>
      </c>
    </row>
    <row r="1020" spans="1:2" x14ac:dyDescent="0.4">
      <c r="A1020">
        <v>1047</v>
      </c>
    </row>
    <row r="1021" spans="1:2" x14ac:dyDescent="0.4">
      <c r="A1021">
        <v>1166</v>
      </c>
      <c r="B1021" t="s">
        <v>2707</v>
      </c>
    </row>
    <row r="1022" spans="1:2" x14ac:dyDescent="0.4">
      <c r="A1022">
        <v>1167</v>
      </c>
      <c r="B1022" t="s">
        <v>2928</v>
      </c>
    </row>
    <row r="1023" spans="1:2" x14ac:dyDescent="0.4">
      <c r="A1023">
        <v>1168</v>
      </c>
      <c r="B1023" t="s">
        <v>2061</v>
      </c>
    </row>
    <row r="1024" spans="1:2" x14ac:dyDescent="0.4">
      <c r="A1024">
        <v>1624</v>
      </c>
      <c r="B1024" t="s">
        <v>2708</v>
      </c>
    </row>
    <row r="1025" spans="1:2" x14ac:dyDescent="0.4">
      <c r="A1025">
        <v>1919</v>
      </c>
      <c r="B1025" t="s">
        <v>2709</v>
      </c>
    </row>
    <row r="1026" spans="1:2" x14ac:dyDescent="0.4">
      <c r="A1026">
        <v>11163</v>
      </c>
      <c r="B1026" t="s">
        <v>2929</v>
      </c>
    </row>
    <row r="1027" spans="1:2" x14ac:dyDescent="0.4">
      <c r="A1027">
        <v>999996</v>
      </c>
      <c r="B1027" t="s">
        <v>682</v>
      </c>
    </row>
    <row r="1028" spans="1:2" x14ac:dyDescent="0.4">
      <c r="A1028">
        <v>999997</v>
      </c>
      <c r="B1028" t="s">
        <v>2710</v>
      </c>
    </row>
    <row r="1029" spans="1:2" x14ac:dyDescent="0.4">
      <c r="A1029">
        <v>999998</v>
      </c>
      <c r="B1029" t="s">
        <v>2759</v>
      </c>
    </row>
    <row r="1030" spans="1:2" x14ac:dyDescent="0.4">
      <c r="A1030">
        <v>999999</v>
      </c>
      <c r="B1030" t="s">
        <v>2711</v>
      </c>
    </row>
    <row r="1031" spans="1:2" x14ac:dyDescent="0.4">
      <c r="A1031">
        <v>10000001</v>
      </c>
      <c r="B1031" t="s">
        <v>2712</v>
      </c>
    </row>
    <row r="1032" spans="1:2" x14ac:dyDescent="0.4">
      <c r="A1032">
        <v>10000002</v>
      </c>
      <c r="B1032" t="s">
        <v>2713</v>
      </c>
    </row>
    <row r="1033" spans="1:2" x14ac:dyDescent="0.4">
      <c r="A1033">
        <v>10000003</v>
      </c>
      <c r="B1033" t="s">
        <v>2714</v>
      </c>
    </row>
    <row r="1034" spans="1:2" x14ac:dyDescent="0.4">
      <c r="A1034">
        <v>10000004</v>
      </c>
      <c r="B1034" t="s">
        <v>2715</v>
      </c>
    </row>
    <row r="1035" spans="1:2" x14ac:dyDescent="0.4">
      <c r="A1035">
        <v>10000005</v>
      </c>
      <c r="B1035" t="s">
        <v>2716</v>
      </c>
    </row>
    <row r="1036" spans="1:2" x14ac:dyDescent="0.4">
      <c r="A1036">
        <v>10000006</v>
      </c>
      <c r="B1036" t="s">
        <v>2372</v>
      </c>
    </row>
    <row r="1037" spans="1:2" x14ac:dyDescent="0.4">
      <c r="A1037">
        <v>10000007</v>
      </c>
      <c r="B1037" t="s">
        <v>2822</v>
      </c>
    </row>
    <row r="1038" spans="1:2" x14ac:dyDescent="0.4">
      <c r="A1038">
        <v>10000008</v>
      </c>
      <c r="B1038" t="s">
        <v>2717</v>
      </c>
    </row>
    <row r="1039" spans="1:2" x14ac:dyDescent="0.4">
      <c r="A1039">
        <v>10000009</v>
      </c>
      <c r="B1039" t="s">
        <v>2718</v>
      </c>
    </row>
    <row r="1040" spans="1:2" x14ac:dyDescent="0.4">
      <c r="A1040">
        <v>10000010</v>
      </c>
      <c r="B1040" t="s">
        <v>2719</v>
      </c>
    </row>
    <row r="1041" spans="1:2" x14ac:dyDescent="0.4">
      <c r="A1041">
        <v>10000011</v>
      </c>
      <c r="B1041" t="s">
        <v>2930</v>
      </c>
    </row>
    <row r="1042" spans="1:2" x14ac:dyDescent="0.4">
      <c r="A1042">
        <v>10000012</v>
      </c>
      <c r="B1042" t="s">
        <v>2061</v>
      </c>
    </row>
    <row r="1043" spans="1:2" x14ac:dyDescent="0.4">
      <c r="A1043">
        <v>10000013</v>
      </c>
      <c r="B1043" t="s">
        <v>2720</v>
      </c>
    </row>
    <row r="1044" spans="1:2" x14ac:dyDescent="0.4">
      <c r="A1044">
        <v>10000014</v>
      </c>
      <c r="B1044" t="s">
        <v>2721</v>
      </c>
    </row>
    <row r="1045" spans="1:2" x14ac:dyDescent="0.4">
      <c r="A1045">
        <v>197</v>
      </c>
      <c r="B1045" t="s">
        <v>2722</v>
      </c>
    </row>
    <row r="1046" spans="1:2" x14ac:dyDescent="0.4">
      <c r="A1046">
        <v>386</v>
      </c>
      <c r="B1046" t="s">
        <v>2723</v>
      </c>
    </row>
    <row r="1047" spans="1:2" x14ac:dyDescent="0.4">
      <c r="A1047">
        <v>546</v>
      </c>
      <c r="B1047" t="s">
        <v>2724</v>
      </c>
    </row>
    <row r="1048" spans="1:2" x14ac:dyDescent="0.4">
      <c r="A1048">
        <v>625</v>
      </c>
      <c r="B1048" t="s">
        <v>2725</v>
      </c>
    </row>
    <row r="1049" spans="1:2" x14ac:dyDescent="0.4">
      <c r="A1049">
        <v>757</v>
      </c>
      <c r="B1049" t="s">
        <v>2931</v>
      </c>
    </row>
    <row r="1050" spans="1:2" x14ac:dyDescent="0.4">
      <c r="A1050">
        <v>764</v>
      </c>
      <c r="B1050" t="s">
        <v>2726</v>
      </c>
    </row>
    <row r="1051" spans="1:2" x14ac:dyDescent="0.4">
      <c r="A1051">
        <v>765</v>
      </c>
      <c r="B1051" t="s">
        <v>2727</v>
      </c>
    </row>
    <row r="1052" spans="1:2" x14ac:dyDescent="0.4">
      <c r="A1052">
        <v>9006</v>
      </c>
      <c r="B1052" t="s">
        <v>2728</v>
      </c>
    </row>
    <row r="1053" spans="1:2" x14ac:dyDescent="0.4">
      <c r="A1053">
        <v>99999998</v>
      </c>
      <c r="B1053" t="s">
        <v>2729</v>
      </c>
    </row>
    <row r="1054" spans="1:2" x14ac:dyDescent="0.4">
      <c r="A1054">
        <v>99999999</v>
      </c>
      <c r="B1054" t="s">
        <v>2932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A6511-9CFA-42C9-A1FC-EA951980C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分類</vt:lpstr>
      <vt:lpstr>特値先</vt:lpstr>
      <vt:lpstr>提出用書式</vt:lpstr>
      <vt:lpstr>大分類</vt:lpstr>
      <vt:lpstr>中分類</vt:lpstr>
      <vt:lpstr>小分類</vt:lpstr>
      <vt:lpstr>在庫取寄区分</vt:lpstr>
      <vt:lpstr>ﾒｰｶｰCD</vt:lpstr>
      <vt:lpstr>単位CD</vt:lpstr>
      <vt:lpstr>仕入先CD</vt:lpstr>
      <vt:lpstr>お客様CD</vt:lpstr>
      <vt:lpstr>分類!Print_Area</vt:lpstr>
      <vt:lpstr>分類!Print_Titles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sato016</dc:creator>
  <cp:lastModifiedBy>sato016</cp:lastModifiedBy>
  <cp:lastPrinted>2026-07-22T01:14:45Z</cp:lastPrinted>
  <dcterms:created xsi:type="dcterms:W3CDTF">2026-03-18T06:07:24Z</dcterms:created>
  <dcterms:modified xsi:type="dcterms:W3CDTF">2026-07-23T03:58:27Z</dcterms:modified>
</cp:coreProperties>
</file>